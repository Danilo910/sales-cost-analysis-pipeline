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86" authorId="0">
      <text>
        <r>
          <rPr>
            <sz val="10"/>
            <rFont val="Arial"/>
            <family val="2"/>
          </rPr>
          <t xml:space="preserve">Marcos:
Hubo una devolucion por parte de agrofactory de 200 unid
</t>
        </r>
      </text>
    </comment>
  </commentList>
</comments>
</file>

<file path=xl/sharedStrings.xml><?xml version="1.0" encoding="utf-8"?>
<sst xmlns="http://schemas.openxmlformats.org/spreadsheetml/2006/main" count="243" uniqueCount="79">
  <si>
    <t xml:space="preserve">PRODUCTOS DE Linea_A</t>
  </si>
  <si>
    <t xml:space="preserve">DESCRIPCION</t>
  </si>
  <si>
    <t xml:space="preserve">PRECIO COSTO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</si>
  <si>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</si>
  <si>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</si>
  <si>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</si>
  <si>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</si>
  <si>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</si>
  <si>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</si>
  <si>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</si>
  <si>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</si>
  <si>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SETIEMBRE</t>
  </si>
  <si>
    <t xml:space="preserve">OCTUBRE</t>
  </si>
  <si>
    <t xml:space="preserve">NOVIEMBRE</t>
  </si>
  <si>
    <t xml:space="preserve">DICIEMBRE</t>
  </si>
  <si>
    <t xml:space="preserve">TOTAL COSTO</t>
  </si>
  <si>
    <t xml:space="preserve">TOTAL VENTA</t>
  </si>
  <si>
    <t xml:space="preserve">UNIDADES</t>
  </si>
  <si>
    <t xml:space="preserve">VALOR</t>
  </si>
  <si>
    <t xml:space="preserve">MAVEN X 0.8K</t>
  </si>
  <si>
    <t xml:space="preserve">TALON X 0.2K</t>
  </si>
  <si>
    <t xml:space="preserve">CALDOR X 1K</t>
  </si>
  <si>
    <t xml:space="preserve">AURON X 0.5K</t>
  </si>
  <si>
    <t xml:space="preserve">BRAVIK X 0.2K</t>
  </si>
  <si>
    <t xml:space="preserve">VELTAR X 1K</t>
  </si>
  <si>
    <t xml:space="preserve">KORVIN X 1K</t>
  </si>
  <si>
    <t xml:space="preserve">TRIGON X 1L</t>
  </si>
  <si>
    <t xml:space="preserve">SERAL X 1L</t>
  </si>
  <si>
    <t xml:space="preserve">DRAKOR X 0.5L</t>
  </si>
  <si>
    <t xml:space="preserve">RAVEX X 0.25L</t>
  </si>
  <si>
    <t xml:space="preserve">VALORES EXPRESADOS EN DOLARES</t>
  </si>
  <si>
    <t xml:space="preserve">TOTALES</t>
  </si>
  <si>
    <t xml:space="preserve">PRODUCTOS DE Linea_B</t>
  </si>
  <si>
    <t xml:space="preserve">DALVEN X 1L</t>
  </si>
  <si>
    <t xml:space="preserve">GLARIX X 1L</t>
  </si>
  <si>
    <t xml:space="preserve">SOLVEN X 5L</t>
  </si>
  <si>
    <t xml:space="preserve">KELVON X 1L</t>
  </si>
  <si>
    <t xml:space="preserve">VOLTREX X 20L</t>
  </si>
  <si>
    <t xml:space="preserve">RANSOR X 200L</t>
  </si>
  <si>
    <t xml:space="preserve">RENOVA X 0.25L</t>
  </si>
  <si>
    <t xml:space="preserve">PRODUCTOS DE Linea_C</t>
  </si>
  <si>
    <t xml:space="preserve">HUMEX X 1K</t>
  </si>
  <si>
    <t xml:space="preserve">FLORAX X 10K</t>
  </si>
  <si>
    <t xml:space="preserve">TRYVON X 20L</t>
  </si>
  <si>
    <t xml:space="preserve">TANGOR X 20L</t>
  </si>
  <si>
    <t xml:space="preserve">PHOSMIX X 20L</t>
  </si>
  <si>
    <t xml:space="preserve">MAXTER X 20L</t>
  </si>
  <si>
    <t xml:space="preserve">AMIVEX X 1L</t>
  </si>
  <si>
    <t xml:space="preserve">CALTRON X 250GRM</t>
  </si>
  <si>
    <t xml:space="preserve">NUTRION X 1L</t>
  </si>
  <si>
    <t xml:space="preserve">ROOTEN X 5L</t>
  </si>
  <si>
    <t xml:space="preserve">SUPRAK X 20L</t>
  </si>
  <si>
    <t xml:space="preserve">FOLTRIX X 20L</t>
  </si>
  <si>
    <t xml:space="preserve">VIGRAN X 20L</t>
  </si>
  <si>
    <t xml:space="preserve">KELNOVA X 1L</t>
  </si>
  <si>
    <t xml:space="preserve">AGRIX X 20L</t>
  </si>
  <si>
    <t xml:space="preserve">BONERA X 20L</t>
  </si>
  <si>
    <t xml:space="preserve">MICRONA X 20L</t>
  </si>
  <si>
    <t xml:space="preserve">GUARDEN X 20L</t>
  </si>
  <si>
    <t xml:space="preserve">Linea_C_Prod_19 X 20L</t>
  </si>
  <si>
    <t xml:space="preserve">Linea_C_Prod_20 X 20L</t>
  </si>
  <si>
    <t xml:space="preserve">Linea_C_Prod_21 X 1L</t>
  </si>
  <si>
    <t xml:space="preserve">Linea_C_Prod_22 X 1L</t>
  </si>
  <si>
    <t xml:space="preserve">Linea_C_Prod_23 X 1L</t>
  </si>
  <si>
    <t xml:space="preserve">Linea_C_Prod_24 X 5L</t>
  </si>
  <si>
    <t xml:space="preserve">Linea_C_Prod_25 X 1L</t>
  </si>
  <si>
    <t xml:space="preserve">Linea_C_Prod_26 X 1L</t>
  </si>
  <si>
    <t xml:space="preserve">Linea_C_Prod_27 X 5L</t>
  </si>
  <si>
    <t xml:space="preserve">Linea_C_Prod_28 X 5L</t>
  </si>
  <si>
    <t xml:space="preserve">Linea_C_Prod_29 X 17L</t>
  </si>
  <si>
    <t xml:space="preserve">Linea_C_Prod_30 X 20L</t>
  </si>
  <si>
    <t xml:space="preserve">Linea_C_Prod_31 X 1K</t>
  </si>
  <si>
    <t xml:space="preserve">Linea_C_Prod_32 X 20L</t>
  </si>
  <si>
    <t xml:space="preserve">PRODUCTOS DE Linea_D</t>
  </si>
  <si>
    <t xml:space="preserve">ZEUTEC X 1L</t>
  </si>
  <si>
    <t xml:space="preserve">RASHEN X 0.25L</t>
  </si>
  <si>
    <t xml:space="preserve">TRAZOR X 1L</t>
  </si>
  <si>
    <t xml:space="preserve">CONTROLA X 100GRM</t>
  </si>
  <si>
    <t xml:space="preserve">VELTIN X 100GRM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</si>
</sst>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#,##0.00"/>
    <numFmt numFmtId="168" formatCode="mmm\-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B9CDE5"/>
      </patternFill>
    </fill>
    <fill>
      <patternFill patternType="solid">
        <fgColor theme="4" tint="0.5999"/>
        <bgColor rgb="FFBFBFB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9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E8" activeCellId="0" sqref="E8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31.86"/>
    <col collapsed="false" customWidth="true" hidden="false" outlineLevel="0" max="3" min="3" style="0" width="9.43"/>
    <col collapsed="false" customWidth="true" hidden="false" outlineLevel="0" max="4" min="4" style="0" width="10.43"/>
    <col collapsed="false" customWidth="true" hidden="false" outlineLevel="0" max="23" min="5" style="0" width="9.71"/>
    <col collapsed="false" customWidth="true" hidden="false" outlineLevel="0" max="24" min="24" style="0" width="10.14"/>
    <col collapsed="false" customWidth="true" hidden="false" outlineLevel="0" max="25" min="25" style="0" width="11.86"/>
    <col collapsed="false" customWidth="true" hidden="false" outlineLevel="0" max="26" min="26" style="0" width="9.71"/>
    <col collapsed="false" customWidth="true" hidden="false" outlineLevel="0" max="27" min="27" style="0" width="11.15"/>
    <col collapsed="false" customWidth="true" hidden="false" outlineLevel="0" max="31" min="31" style="0" width="13"/>
  </cols>
  <sheetData>
    <row r="2" customFormat="false" ht="15" hidden="false" customHeight="false" outlineLevel="0" collapsed="false">
      <c r="C2" s="1" t="s">
        <v>0</v>
      </c>
    </row>
    <row r="4" customFormat="false" ht="15" hidden="false" customHeight="true" outlineLevel="0" collapsed="false">
      <c r="B4" s="2" t="s">
        <v>1</v>
      </c>
      <c r="C4" s="3" t="s">
        <v>2</v>
      </c>
      <c r="D4" s="4" t="s">
        <v>3</v>
      </c>
      <c r="E4" s="4"/>
      <c r="F4" s="4" t="s">
        <v>4</v>
      </c>
      <c r="G4" s="4"/>
      <c r="H4" s="4" t="s">
        <v>5</v>
      </c>
      <c r="I4" s="4"/>
      <c r="J4" s="4" t="s">
        <v>6</v>
      </c>
      <c r="K4" s="4"/>
      <c r="L4" s="4" t="s">
        <v>7</v>
      </c>
      <c r="M4" s="4"/>
      <c r="N4" s="4" t="s">
        <v>8</v>
      </c>
      <c r="O4" s="4"/>
      <c r="P4" s="4" t="s">
        <v>9</v>
      </c>
      <c r="Q4" s="4"/>
      <c r="R4" s="4" t="s">
        <v>10</v>
      </c>
      <c r="S4" s="4"/>
      <c r="T4" s="4" t="s">
        <v>11</v>
      </c>
      <c r="U4" s="4"/>
      <c r="V4" s="4" t="s">
        <v>12</v>
      </c>
      <c r="W4" s="4"/>
      <c r="X4" s="4" t="s">
        <v>13</v>
      </c>
      <c r="Y4" s="4"/>
      <c r="Z4" s="4" t="s">
        <v>14</v>
      </c>
      <c r="AA4" s="4"/>
      <c r="AB4" s="5" t="s">
        <v>15</v>
      </c>
      <c r="AC4" s="5"/>
      <c r="AD4" s="6" t="s">
        <v>16</v>
      </c>
      <c r="AE4" s="6"/>
    </row>
    <row r="5" customFormat="false" ht="15" hidden="false" customHeight="false" outlineLevel="0" collapsed="false">
      <c r="B5" s="2"/>
      <c r="C5" s="2"/>
      <c r="D5" s="4" t="s">
        <v>17</v>
      </c>
      <c r="E5" s="4" t="s">
        <v>18</v>
      </c>
      <c r="F5" s="4" t="s">
        <v>17</v>
      </c>
      <c r="G5" s="4" t="s">
        <v>18</v>
      </c>
      <c r="H5" s="4" t="s">
        <v>17</v>
      </c>
      <c r="I5" s="4" t="s">
        <v>18</v>
      </c>
      <c r="J5" s="4" t="s">
        <v>17</v>
      </c>
      <c r="K5" s="4" t="s">
        <v>18</v>
      </c>
      <c r="L5" s="4" t="s">
        <v>17</v>
      </c>
      <c r="M5" s="4" t="s">
        <v>18</v>
      </c>
      <c r="N5" s="4" t="s">
        <v>17</v>
      </c>
      <c r="O5" s="4" t="s">
        <v>18</v>
      </c>
      <c r="P5" s="4" t="s">
        <v>17</v>
      </c>
      <c r="Q5" s="4" t="s">
        <v>18</v>
      </c>
      <c r="R5" s="4" t="s">
        <v>17</v>
      </c>
      <c r="S5" s="4" t="s">
        <v>18</v>
      </c>
      <c r="T5" s="4" t="s">
        <v>17</v>
      </c>
      <c r="U5" s="4" t="s">
        <v>18</v>
      </c>
      <c r="V5" s="4" t="s">
        <v>17</v>
      </c>
      <c r="W5" s="4" t="s">
        <v>18</v>
      </c>
      <c r="X5" s="4" t="s">
        <v>17</v>
      </c>
      <c r="Y5" s="4" t="s">
        <v>18</v>
      </c>
      <c r="Z5" s="4" t="s">
        <v>17</v>
      </c>
      <c r="AA5" s="4" t="s">
        <v>18</v>
      </c>
      <c r="AB5" s="5" t="s">
        <v>17</v>
      </c>
      <c r="AC5" s="5" t="s">
        <v>18</v>
      </c>
      <c r="AD5" s="6" t="s">
        <v>17</v>
      </c>
      <c r="AE5" s="6" t="s">
        <v>18</v>
      </c>
    </row>
    <row r="6" customFormat="false" ht="15" hidden="false" customHeight="false" outlineLevel="0" collapsed="false">
      <c r="B6" s="7" t="s">
        <v>19</v>
      </c>
      <c r="C6" s="8" t="n">
        <v>12.53</v>
      </c>
      <c r="D6" s="9" t="n">
        <v>116</v>
      </c>
      <c r="E6" s="10" t="n">
        <f aca="false">+D6*C6</f>
        <v>1453.48</v>
      </c>
      <c r="F6" s="9" t="n">
        <v>99</v>
      </c>
      <c r="G6" s="10" t="n">
        <f aca="false">+F6*C6</f>
        <v>1240.47</v>
      </c>
      <c r="H6" s="9" t="n">
        <v>96</v>
      </c>
      <c r="I6" s="10" t="n">
        <f aca="false">+H6*C6</f>
        <v>1202.88</v>
      </c>
      <c r="J6" s="9" t="n">
        <v>83</v>
      </c>
      <c r="K6" s="10" t="n">
        <f aca="false">+J6*C6</f>
        <v>1039.99</v>
      </c>
      <c r="L6" s="9" t="n">
        <v>72</v>
      </c>
      <c r="M6" s="10" t="n">
        <f aca="false">+L6*C6</f>
        <v>902.16</v>
      </c>
      <c r="N6" s="9" t="n">
        <v>75</v>
      </c>
      <c r="O6" s="10" t="n">
        <f aca="false">+N6*C6</f>
        <v>939.75</v>
      </c>
      <c r="P6" s="10" t="n">
        <v>75</v>
      </c>
      <c r="Q6" s="10" t="n">
        <f aca="false">+P6*C6</f>
        <v>939.75</v>
      </c>
      <c r="R6" s="10" t="n">
        <v>74</v>
      </c>
      <c r="S6" s="10" t="n">
        <f aca="false">+R6*C6</f>
        <v>927.22</v>
      </c>
      <c r="T6" s="10" t="n">
        <v>85</v>
      </c>
      <c r="U6" s="10" t="n">
        <f aca="false">+T6*C6</f>
        <v>1065.05</v>
      </c>
      <c r="V6" s="10" t="n">
        <v>87</v>
      </c>
      <c r="W6" s="10" t="n">
        <f aca="false">+V6*C6</f>
        <v>1090.11</v>
      </c>
      <c r="X6" s="10" t="n">
        <v>97</v>
      </c>
      <c r="Y6" s="10" t="n">
        <f aca="false">+X6*C6</f>
        <v>1215.41</v>
      </c>
      <c r="Z6" s="10" t="n">
        <v>11</v>
      </c>
      <c r="AA6" s="10" t="n">
        <f aca="false">+Z6*C6</f>
        <v>137.83</v>
      </c>
      <c r="AB6" s="11" t="n">
        <f aca="false">+D6+F6+H6+J6+L6+N6+P6+R6+T6+V6+X6+Z6</f>
        <v>970</v>
      </c>
      <c r="AC6" s="12" t="n">
        <f aca="false">+E6+G6+I6+K6+M6+O6+Q6+S6+U6+W6+Y6+AA6</f>
        <v>12154.1</v>
      </c>
      <c r="AD6" s="13" t="n">
        <f aca="false">+AB6</f>
        <v>970</v>
      </c>
      <c r="AE6" s="14" t="n">
        <v>21399</v>
      </c>
    </row>
    <row r="7" customFormat="false" ht="15" hidden="false" customHeight="false" outlineLevel="0" collapsed="false">
      <c r="B7" s="7" t="s">
        <v>20</v>
      </c>
      <c r="C7" s="8" t="n">
        <v>10.33</v>
      </c>
      <c r="D7" s="9" t="n">
        <v>7</v>
      </c>
      <c r="E7" s="15" t="n">
        <f aca="false">+D7*C7</f>
        <v>72.31</v>
      </c>
      <c r="F7" s="9" t="n">
        <v>78</v>
      </c>
      <c r="G7" s="10" t="n">
        <f aca="false">+F7*C7</f>
        <v>805.74</v>
      </c>
      <c r="H7" s="9" t="n">
        <v>75</v>
      </c>
      <c r="I7" s="10" t="n">
        <f aca="false">+H7*C7</f>
        <v>774.75</v>
      </c>
      <c r="J7" s="9" t="n">
        <v>68</v>
      </c>
      <c r="K7" s="10" t="n">
        <f aca="false">+J7*C7</f>
        <v>702.44</v>
      </c>
      <c r="L7" s="9" t="n">
        <v>0</v>
      </c>
      <c r="M7" s="10" t="n">
        <f aca="false">+L7*C7</f>
        <v>0</v>
      </c>
      <c r="N7" s="9" t="n">
        <v>75</v>
      </c>
      <c r="O7" s="10" t="n">
        <f aca="false">+N7*C7</f>
        <v>774.75</v>
      </c>
      <c r="P7" s="10" t="n">
        <v>64</v>
      </c>
      <c r="Q7" s="10" t="n">
        <f aca="false">+P7*C7</f>
        <v>661.12</v>
      </c>
      <c r="R7" s="10" t="n">
        <v>71</v>
      </c>
      <c r="S7" s="10" t="n">
        <f aca="false">+R7*C7</f>
        <v>733.43</v>
      </c>
      <c r="T7" s="10" t="n">
        <v>66</v>
      </c>
      <c r="U7" s="10" t="n">
        <f aca="false">+T7*C7</f>
        <v>681.78</v>
      </c>
      <c r="V7" s="10" t="n">
        <v>72</v>
      </c>
      <c r="W7" s="10" t="n">
        <f aca="false">+V7*C7</f>
        <v>743.76</v>
      </c>
      <c r="X7" s="10" t="n">
        <v>88</v>
      </c>
      <c r="Y7" s="10" t="n">
        <f aca="false">+X7*C7</f>
        <v>909.04</v>
      </c>
      <c r="Z7" s="10" t="n">
        <v>81</v>
      </c>
      <c r="AA7" s="10" t="n">
        <f aca="false">+Z7*C7</f>
        <v>836.73</v>
      </c>
      <c r="AB7" s="11" t="n">
        <f aca="false">+D7+F7+H7+J7+L7+N7+P7+R7+T7+V7+X7+Z7</f>
        <v>745</v>
      </c>
      <c r="AC7" s="12" t="n">
        <f aca="false">+E7+G7+I7+K7+M7+O7+Q7+S7+U7+W7+Y7+AA7</f>
        <v>7695.85</v>
      </c>
      <c r="AD7" s="13" t="n">
        <f aca="false">+AB7</f>
        <v>745</v>
      </c>
      <c r="AE7" s="14" t="n">
        <v>13337.19</v>
      </c>
    </row>
    <row r="8" customFormat="false" ht="15" hidden="false" customHeight="false" outlineLevel="0" collapsed="false">
      <c r="B8" s="7" t="s">
        <v>21</v>
      </c>
      <c r="C8" s="8" t="n">
        <v>12.52</v>
      </c>
      <c r="D8" s="9" t="n">
        <v>98</v>
      </c>
      <c r="E8" s="10" t="n">
        <f aca="false">+D8*C8</f>
        <v>1226.96</v>
      </c>
      <c r="F8" s="9" t="n">
        <v>91</v>
      </c>
      <c r="G8" s="10" t="n">
        <f aca="false">+F8*C8</f>
        <v>1139.32</v>
      </c>
      <c r="H8" s="9" t="n">
        <v>3</v>
      </c>
      <c r="I8" s="10" t="n">
        <f aca="false">+H8*C8</f>
        <v>37.56</v>
      </c>
      <c r="J8" s="9" t="n">
        <v>4</v>
      </c>
      <c r="K8" s="10" t="n">
        <f aca="false">+J8*C8</f>
        <v>50.08</v>
      </c>
      <c r="L8" s="9" t="n">
        <v>72</v>
      </c>
      <c r="M8" s="10" t="n">
        <f aca="false">+L8*C8</f>
        <v>901.44</v>
      </c>
      <c r="N8" s="9" t="n">
        <v>68</v>
      </c>
      <c r="O8" s="10" t="n">
        <f aca="false">+N8*C8</f>
        <v>851.36</v>
      </c>
      <c r="P8" s="10" t="n">
        <v>69</v>
      </c>
      <c r="Q8" s="10" t="n">
        <f aca="false">+P8*C8</f>
        <v>863.88</v>
      </c>
      <c r="R8" s="10" t="n">
        <v>68</v>
      </c>
      <c r="S8" s="10" t="n">
        <f aca="false">+R8*C8</f>
        <v>851.36</v>
      </c>
      <c r="T8" s="10" t="n">
        <v>79</v>
      </c>
      <c r="U8" s="10" t="n">
        <f aca="false">+T8*C8</f>
        <v>989.08</v>
      </c>
      <c r="V8" s="10" t="n">
        <v>5</v>
      </c>
      <c r="W8" s="10" t="n">
        <f aca="false">+V8*C8</f>
        <v>62.6</v>
      </c>
      <c r="X8" s="10" t="n">
        <v>83</v>
      </c>
      <c r="Y8" s="10" t="n">
        <f aca="false">+X8*C8</f>
        <v>1039.16</v>
      </c>
      <c r="Z8" s="10" t="n">
        <v>9</v>
      </c>
      <c r="AA8" s="10" t="n">
        <f aca="false">+Z8*C8</f>
        <v>112.68</v>
      </c>
      <c r="AB8" s="11" t="n">
        <f aca="false">+D8+F8+H8+J8+L8+N8+P8+R8+T8+V8+X8+Z8</f>
        <v>649</v>
      </c>
      <c r="AC8" s="12" t="n">
        <f aca="false">+E8+G8+I8+K8+M8+O8+Q8+S8+U8+W8+Y8+AA8</f>
        <v>8125.48</v>
      </c>
      <c r="AD8" s="13" t="n">
        <f aca="false">+AB8</f>
        <v>649</v>
      </c>
      <c r="AE8" s="14" t="n">
        <v>14230.2</v>
      </c>
    </row>
    <row r="9" customFormat="false" ht="15" hidden="false" customHeight="false" outlineLevel="0" collapsed="false">
      <c r="B9" s="7" t="s">
        <v>22</v>
      </c>
      <c r="C9" s="8" t="n">
        <v>4.75</v>
      </c>
      <c r="D9" s="9" t="n">
        <v>90</v>
      </c>
      <c r="E9" s="10" t="n">
        <f aca="false">+D9*C9</f>
        <v>427.5</v>
      </c>
      <c r="F9" s="9" t="n">
        <v>1</v>
      </c>
      <c r="G9" s="10" t="n">
        <f aca="false">+F9*C9</f>
        <v>4.75</v>
      </c>
      <c r="H9" s="9" t="n">
        <v>75</v>
      </c>
      <c r="I9" s="10" t="n">
        <f aca="false">+H9*C9</f>
        <v>356.25</v>
      </c>
      <c r="J9" s="9" t="n">
        <v>66</v>
      </c>
      <c r="K9" s="10" t="n">
        <f aca="false">+J9*C9</f>
        <v>313.5</v>
      </c>
      <c r="L9" s="9" t="n">
        <v>6</v>
      </c>
      <c r="M9" s="10" t="n">
        <f aca="false">+L9*C9</f>
        <v>28.5</v>
      </c>
      <c r="N9" s="9" t="n">
        <v>72</v>
      </c>
      <c r="O9" s="10" t="n">
        <f aca="false">+N9*C9</f>
        <v>342</v>
      </c>
      <c r="P9" s="10" t="n">
        <v>67</v>
      </c>
      <c r="Q9" s="10" t="n">
        <f aca="false">+P9*C9</f>
        <v>318.25</v>
      </c>
      <c r="R9" s="10" t="n">
        <v>68</v>
      </c>
      <c r="S9" s="10" t="n">
        <f aca="false">+R9*C9</f>
        <v>323</v>
      </c>
      <c r="T9" s="10" t="n">
        <v>7</v>
      </c>
      <c r="U9" s="10" t="n">
        <f aca="false">+T9*C9</f>
        <v>33.25</v>
      </c>
      <c r="V9" s="10" t="n">
        <v>74</v>
      </c>
      <c r="W9" s="10" t="n">
        <f aca="false">+V9*C9</f>
        <v>351.5</v>
      </c>
      <c r="X9" s="10" t="n">
        <v>83</v>
      </c>
      <c r="Y9" s="10" t="n">
        <f aca="false">+X9*C9</f>
        <v>394.25</v>
      </c>
      <c r="Z9" s="10" t="n">
        <v>0</v>
      </c>
      <c r="AA9" s="10" t="n">
        <f aca="false">+Z9*C9</f>
        <v>0</v>
      </c>
      <c r="AB9" s="11" t="n">
        <f aca="false">+D9+F9+H9+J9+L9+N9+P9+R9+T9+V9+X9+Z9</f>
        <v>609</v>
      </c>
      <c r="AC9" s="12" t="n">
        <f aca="false">+E9+G9+I9+K9+M9+O9+Q9+S9+U9+W9+Y9+AA9</f>
        <v>2892.75</v>
      </c>
      <c r="AD9" s="13" t="n">
        <f aca="false">+AB9</f>
        <v>609</v>
      </c>
      <c r="AE9" s="14" t="n">
        <v>4916.71</v>
      </c>
    </row>
    <row r="10" customFormat="false" ht="15" hidden="false" customHeight="false" outlineLevel="0" collapsed="false">
      <c r="B10" s="7" t="s">
        <v>23</v>
      </c>
      <c r="C10" s="8" t="n">
        <v>6.6</v>
      </c>
      <c r="D10" s="9" t="n">
        <v>5</v>
      </c>
      <c r="E10" s="10" t="n">
        <f aca="false">+D10*C10</f>
        <v>33</v>
      </c>
      <c r="F10" s="9" t="n">
        <v>3</v>
      </c>
      <c r="G10" s="10" t="n">
        <f aca="false">+F10*C10</f>
        <v>19.8</v>
      </c>
      <c r="H10" s="9" t="n">
        <v>6</v>
      </c>
      <c r="I10" s="10" t="n">
        <f aca="false">+H10*C10</f>
        <v>39.6</v>
      </c>
      <c r="J10" s="9" t="n">
        <v>55</v>
      </c>
      <c r="K10" s="10" t="n">
        <f aca="false">+J10*C10</f>
        <v>363</v>
      </c>
      <c r="L10" s="9" t="n">
        <v>7</v>
      </c>
      <c r="M10" s="10" t="n">
        <f aca="false">+L10*C10</f>
        <v>46.2</v>
      </c>
      <c r="N10" s="9" t="n">
        <v>59</v>
      </c>
      <c r="O10" s="10" t="n">
        <f aca="false">+N10*C10</f>
        <v>389.4</v>
      </c>
      <c r="P10" s="10" t="n">
        <v>3</v>
      </c>
      <c r="Q10" s="10" t="n">
        <f aca="false">+P10*C10</f>
        <v>19.8</v>
      </c>
      <c r="R10" s="10" t="n">
        <v>49</v>
      </c>
      <c r="S10" s="10" t="n">
        <f aca="false">+R10*C10</f>
        <v>323.4</v>
      </c>
      <c r="T10" s="10" t="n">
        <v>53</v>
      </c>
      <c r="U10" s="10" t="n">
        <f aca="false">+T10*C10</f>
        <v>349.8</v>
      </c>
      <c r="V10" s="10" t="n">
        <v>61</v>
      </c>
      <c r="W10" s="10" t="n">
        <f aca="false">+V10*C10</f>
        <v>402.6</v>
      </c>
      <c r="X10" s="10" t="n">
        <v>64</v>
      </c>
      <c r="Y10" s="10" t="n">
        <f aca="false">+X10*C10</f>
        <v>422.4</v>
      </c>
      <c r="Z10" s="10" t="n">
        <v>72</v>
      </c>
      <c r="AA10" s="10" t="n">
        <f aca="false">+Z10*C10</f>
        <v>475.2</v>
      </c>
      <c r="AB10" s="11" t="n">
        <f aca="false">+D10+F10+H10+J10+L10+N10+P10+R10+T10+V10+X10+Z10</f>
        <v>437</v>
      </c>
      <c r="AC10" s="12" t="n">
        <f aca="false">+E10+G10+I10+K10+M10+O10+Q10+S10+U10+W10+Y10+AA10</f>
        <v>2884.2</v>
      </c>
      <c r="AD10" s="13" t="n">
        <f aca="false">+AB10</f>
        <v>437</v>
      </c>
      <c r="AE10" s="14" t="n">
        <v>5124.77</v>
      </c>
    </row>
    <row r="11" customFormat="false" ht="15" hidden="false" customHeight="false" outlineLevel="0" collapsed="false">
      <c r="B11" s="7" t="s">
        <v>24</v>
      </c>
      <c r="C11" s="8" t="n">
        <v>7.42</v>
      </c>
      <c r="D11" s="9" t="n">
        <v>76</v>
      </c>
      <c r="E11" s="10" t="n">
        <f aca="false">+D11*C11</f>
        <v>563.92</v>
      </c>
      <c r="F11" s="9" t="n">
        <v>7</v>
      </c>
      <c r="G11" s="10" t="n">
        <f aca="false">+F11*C11</f>
        <v>51.94</v>
      </c>
      <c r="H11" s="9" t="n">
        <v>61</v>
      </c>
      <c r="I11" s="10" t="n">
        <f aca="false">+H11*C11</f>
        <v>452.62</v>
      </c>
      <c r="J11" s="9" t="n">
        <v>62</v>
      </c>
      <c r="K11" s="10" t="n">
        <f aca="false">+J11*C11</f>
        <v>460.04</v>
      </c>
      <c r="L11" s="9" t="n">
        <v>56</v>
      </c>
      <c r="M11" s="10" t="n">
        <f aca="false">+L11*C11</f>
        <v>415.52</v>
      </c>
      <c r="N11" s="9" t="n">
        <v>5</v>
      </c>
      <c r="O11" s="10" t="n">
        <f aca="false">+N11*C11</f>
        <v>37.1</v>
      </c>
      <c r="P11" s="10" t="n">
        <v>5</v>
      </c>
      <c r="Q11" s="10" t="n">
        <f aca="false">+P11*C11</f>
        <v>37.1</v>
      </c>
      <c r="R11" s="10" t="n">
        <v>55</v>
      </c>
      <c r="S11" s="10" t="n">
        <f aca="false">+R11*C11</f>
        <v>408.1</v>
      </c>
      <c r="T11" s="10" t="n">
        <v>0</v>
      </c>
      <c r="U11" s="10" t="n">
        <f aca="false">+T11*C11</f>
        <v>0</v>
      </c>
      <c r="V11" s="10" t="n">
        <v>2</v>
      </c>
      <c r="W11" s="10" t="n">
        <f aca="false">+V11*C11</f>
        <v>14.84</v>
      </c>
      <c r="X11" s="10" t="n">
        <v>9</v>
      </c>
      <c r="Y11" s="10" t="n">
        <f aca="false">+X11*C11</f>
        <v>66.78</v>
      </c>
      <c r="Z11" s="10" t="n">
        <v>4</v>
      </c>
      <c r="AA11" s="10" t="n">
        <f aca="false">+Z11*C11</f>
        <v>29.68</v>
      </c>
      <c r="AB11" s="11" t="n">
        <f aca="false">+D11+F11+H11+J11+L11+N11+P11+R11+T11+V11+X11+Z11</f>
        <v>342</v>
      </c>
      <c r="AC11" s="12" t="n">
        <f aca="false">+E11+G11+I11+K11+M11+O11+Q11+S11+U11+W11+Y11+AA11</f>
        <v>2537.64</v>
      </c>
      <c r="AD11" s="13" t="n">
        <f aca="false">+AB11</f>
        <v>342</v>
      </c>
      <c r="AE11" s="14" t="n">
        <v>4470.08</v>
      </c>
    </row>
    <row r="12" customFormat="false" ht="15" hidden="false" customHeight="false" outlineLevel="0" collapsed="false">
      <c r="B12" s="7" t="s">
        <v>25</v>
      </c>
      <c r="C12" s="8" t="n">
        <v>10.32</v>
      </c>
      <c r="D12" s="9" t="n">
        <v>67</v>
      </c>
      <c r="E12" s="10" t="n">
        <f aca="false">+D12*C12</f>
        <v>691.44</v>
      </c>
      <c r="F12" s="9" t="n">
        <v>58</v>
      </c>
      <c r="G12" s="10" t="n">
        <f aca="false">+F12*C12</f>
        <v>598.56</v>
      </c>
      <c r="H12" s="9" t="n">
        <v>3</v>
      </c>
      <c r="I12" s="10" t="n">
        <f aca="false">+H12*C12</f>
        <v>30.96</v>
      </c>
      <c r="J12" s="9" t="n">
        <v>57</v>
      </c>
      <c r="K12" s="10" t="n">
        <f aca="false">+J12*C12</f>
        <v>588.24</v>
      </c>
      <c r="L12" s="9" t="n">
        <v>55</v>
      </c>
      <c r="M12" s="10" t="n">
        <f aca="false">+L12*C12</f>
        <v>567.6</v>
      </c>
      <c r="N12" s="9" t="n">
        <v>56</v>
      </c>
      <c r="O12" s="10" t="n">
        <f aca="false">+N12*C12</f>
        <v>577.92</v>
      </c>
      <c r="P12" s="10" t="n">
        <v>55</v>
      </c>
      <c r="Q12" s="10" t="n">
        <f aca="false">+P12*C12</f>
        <v>567.6</v>
      </c>
      <c r="R12" s="10" t="n">
        <v>4</v>
      </c>
      <c r="S12" s="10" t="n">
        <f aca="false">+R12*C12</f>
        <v>41.28</v>
      </c>
      <c r="T12" s="10" t="n">
        <v>52</v>
      </c>
      <c r="U12" s="10" t="n">
        <f aca="false">+T12*C12</f>
        <v>536.64</v>
      </c>
      <c r="V12" s="10" t="n">
        <v>55</v>
      </c>
      <c r="W12" s="10" t="n">
        <f aca="false">+V12*C12</f>
        <v>567.6</v>
      </c>
      <c r="X12" s="10" t="n">
        <v>2</v>
      </c>
      <c r="Y12" s="10" t="n">
        <f aca="false">+X12*C12</f>
        <v>20.64</v>
      </c>
      <c r="Z12" s="10" t="n">
        <v>69</v>
      </c>
      <c r="AA12" s="10" t="n">
        <f aca="false">+Z12*C12</f>
        <v>712.08</v>
      </c>
      <c r="AB12" s="11" t="n">
        <f aca="false">+D12+F12+H12+J12+L12+N12+P12+R12+T12+V12+X12+Z12</f>
        <v>533</v>
      </c>
      <c r="AC12" s="12" t="n">
        <f aca="false">+E12+G12+I12+K12+M12+O12+Q12+S12+U12+W12+Y12+AA12</f>
        <v>5500.56</v>
      </c>
      <c r="AD12" s="13" t="n">
        <f aca="false">+AB12</f>
        <v>533</v>
      </c>
      <c r="AE12" s="14" t="n">
        <v>9388.5</v>
      </c>
    </row>
    <row r="13" customFormat="false" ht="15" hidden="false" customHeight="false" outlineLevel="0" collapsed="false">
      <c r="B13" s="7" t="s">
        <v>26</v>
      </c>
      <c r="C13" s="8" t="n">
        <v>10.01</v>
      </c>
      <c r="D13" s="9" t="n">
        <v>2</v>
      </c>
      <c r="E13" s="10" t="n">
        <f aca="false">+D13*C13</f>
        <v>20.02</v>
      </c>
      <c r="F13" s="9" t="n">
        <v>4</v>
      </c>
      <c r="G13" s="10" t="n">
        <f aca="false">+F13*C13</f>
        <v>40.04</v>
      </c>
      <c r="H13" s="9" t="n">
        <v>5</v>
      </c>
      <c r="I13" s="10" t="n">
        <f aca="false">+H13*C13</f>
        <v>50.05</v>
      </c>
      <c r="J13" s="9" t="n">
        <v>0</v>
      </c>
      <c r="K13" s="10" t="n">
        <f aca="false">+J13*C13</f>
        <v>0</v>
      </c>
      <c r="L13" s="9" t="n">
        <v>2</v>
      </c>
      <c r="M13" s="10" t="n">
        <f aca="false">+L13*C13</f>
        <v>20.02</v>
      </c>
      <c r="N13" s="9" t="n">
        <v>5</v>
      </c>
      <c r="O13" s="10" t="n">
        <f aca="false">+N13*C13</f>
        <v>50.05</v>
      </c>
      <c r="P13" s="10" t="n">
        <v>4</v>
      </c>
      <c r="Q13" s="10" t="n">
        <f aca="false">+P13*C13</f>
        <v>40.04</v>
      </c>
      <c r="R13" s="10" t="n">
        <v>4</v>
      </c>
      <c r="S13" s="10" t="n">
        <f aca="false">+R13*C13</f>
        <v>40.04</v>
      </c>
      <c r="T13" s="10" t="n">
        <v>6</v>
      </c>
      <c r="U13" s="10" t="n">
        <f aca="false">+T13*C13</f>
        <v>60.06</v>
      </c>
      <c r="V13" s="10" t="n">
        <v>4</v>
      </c>
      <c r="W13" s="10" t="n">
        <f aca="false">+V13*C13</f>
        <v>40.04</v>
      </c>
      <c r="X13" s="10" t="n">
        <v>3</v>
      </c>
      <c r="Y13" s="10" t="n">
        <f aca="false">+X13*C13</f>
        <v>30.03</v>
      </c>
      <c r="Z13" s="10" t="n">
        <v>52</v>
      </c>
      <c r="AA13" s="10" t="n">
        <f aca="false">+Z13*C13</f>
        <v>520.52</v>
      </c>
      <c r="AB13" s="11" t="n">
        <f aca="false">+D13+F13+H13+J13+L13+N13+P13+R13+T13+V13+X13+Z13</f>
        <v>91</v>
      </c>
      <c r="AC13" s="12" t="n">
        <f aca="false">+E13+G13+I13+K13+M13+O13+Q13+S13+U13+W13+Y13+AA13</f>
        <v>910.91</v>
      </c>
      <c r="AD13" s="13" t="n">
        <f aca="false">+AB13</f>
        <v>91</v>
      </c>
      <c r="AE13" s="14" t="n">
        <v>1551.13</v>
      </c>
    </row>
    <row r="14" customFormat="false" ht="15" hidden="false" customHeight="false" outlineLevel="0" collapsed="false">
      <c r="B14" s="7" t="s">
        <v>27</v>
      </c>
      <c r="C14" s="8" t="n">
        <v>6.78</v>
      </c>
      <c r="D14" s="9" t="n">
        <v>3</v>
      </c>
      <c r="E14" s="10" t="n">
        <f aca="false">+D14*C14</f>
        <v>20.34</v>
      </c>
      <c r="F14" s="9" t="n">
        <v>43</v>
      </c>
      <c r="G14" s="10" t="n">
        <f aca="false">+F14*C14</f>
        <v>291.54</v>
      </c>
      <c r="H14" s="9" t="n">
        <v>41</v>
      </c>
      <c r="I14" s="10" t="n">
        <f aca="false">+H14*C14</f>
        <v>277.98</v>
      </c>
      <c r="J14" s="9" t="n">
        <v>3</v>
      </c>
      <c r="K14" s="10" t="n">
        <f aca="false">+J14*C14</f>
        <v>20.34</v>
      </c>
      <c r="L14" s="9" t="n">
        <v>39</v>
      </c>
      <c r="M14" s="10" t="n">
        <f aca="false">+L14*C14</f>
        <v>264.42</v>
      </c>
      <c r="N14" s="9" t="n">
        <v>36</v>
      </c>
      <c r="O14" s="10" t="n">
        <f aca="false">+N14*C14</f>
        <v>244.08</v>
      </c>
      <c r="P14" s="10" t="n">
        <v>4</v>
      </c>
      <c r="Q14" s="10" t="n">
        <f aca="false">+P14*C14</f>
        <v>27.12</v>
      </c>
      <c r="R14" s="10" t="n">
        <v>5</v>
      </c>
      <c r="S14" s="10" t="n">
        <f aca="false">+R14*C14</f>
        <v>33.9</v>
      </c>
      <c r="T14" s="10" t="n">
        <v>6</v>
      </c>
      <c r="U14" s="10" t="n">
        <f aca="false">+T14*C14</f>
        <v>40.68</v>
      </c>
      <c r="V14" s="10" t="n">
        <v>42</v>
      </c>
      <c r="W14" s="10" t="n">
        <f aca="false">+V14*C14</f>
        <v>284.76</v>
      </c>
      <c r="X14" s="10" t="n">
        <v>43</v>
      </c>
      <c r="Y14" s="10" t="n">
        <f aca="false">+X14*C14</f>
        <v>291.54</v>
      </c>
      <c r="Z14" s="10" t="n">
        <v>50</v>
      </c>
      <c r="AA14" s="10" t="n">
        <f aca="false">+Z14*C14</f>
        <v>339</v>
      </c>
      <c r="AB14" s="11" t="n">
        <f aca="false">+D14+F14+H14+J14+L14+N14+P14+R14+T14+V14+X14+Z14</f>
        <v>315</v>
      </c>
      <c r="AC14" s="12" t="n">
        <f aca="false">+E14+G14+I14+K14+M14+O14+Q14+S14+U14+W14+Y14+AA14</f>
        <v>2135.7</v>
      </c>
      <c r="AD14" s="13" t="n">
        <f aca="false">+AB14</f>
        <v>315</v>
      </c>
      <c r="AE14" s="14" t="n">
        <v>3744.51</v>
      </c>
    </row>
    <row r="15" customFormat="false" ht="15" hidden="false" customHeight="false" outlineLevel="0" collapsed="false">
      <c r="B15" s="7" t="s">
        <v>28</v>
      </c>
      <c r="C15" s="8" t="n">
        <v>4.68</v>
      </c>
      <c r="D15" s="9" t="n">
        <v>55</v>
      </c>
      <c r="E15" s="10" t="n">
        <f aca="false">+D15*C15</f>
        <v>257.4</v>
      </c>
      <c r="F15" s="9" t="n">
        <v>5</v>
      </c>
      <c r="G15" s="10" t="n">
        <f aca="false">+F15*C15</f>
        <v>23.4</v>
      </c>
      <c r="H15" s="9" t="n">
        <v>4</v>
      </c>
      <c r="I15" s="10" t="n">
        <f aca="false">+H15*C15</f>
        <v>18.72</v>
      </c>
      <c r="J15" s="9" t="n">
        <v>7</v>
      </c>
      <c r="K15" s="10" t="n">
        <f aca="false">+J15*C15</f>
        <v>32.76</v>
      </c>
      <c r="L15" s="9" t="n">
        <v>42</v>
      </c>
      <c r="M15" s="10" t="n">
        <f aca="false">+L15*C15</f>
        <v>196.56</v>
      </c>
      <c r="N15" s="9" t="n">
        <v>43</v>
      </c>
      <c r="O15" s="10" t="n">
        <f aca="false">+N15*C15</f>
        <v>201.24</v>
      </c>
      <c r="P15" s="10" t="n">
        <v>35</v>
      </c>
      <c r="Q15" s="10" t="n">
        <f aca="false">+P15*C15</f>
        <v>163.8</v>
      </c>
      <c r="R15" s="10" t="n">
        <v>40</v>
      </c>
      <c r="S15" s="10" t="n">
        <f aca="false">+R15*C15</f>
        <v>187.2</v>
      </c>
      <c r="T15" s="10" t="n">
        <v>5</v>
      </c>
      <c r="U15" s="10" t="n">
        <f aca="false">+T15*C15</f>
        <v>23.4</v>
      </c>
      <c r="V15" s="10" t="n">
        <v>49</v>
      </c>
      <c r="W15" s="10" t="n">
        <f aca="false">+V15*C15</f>
        <v>229.32</v>
      </c>
      <c r="X15" s="10" t="n">
        <v>48</v>
      </c>
      <c r="Y15" s="10" t="n">
        <f aca="false">+X15*C15</f>
        <v>224.64</v>
      </c>
      <c r="Z15" s="10" t="n">
        <v>7</v>
      </c>
      <c r="AA15" s="10" t="n">
        <f aca="false">+Z15*C15</f>
        <v>32.76</v>
      </c>
      <c r="AB15" s="11" t="n">
        <f aca="false">+D15+F15+H15+J15+L15+N15+P15+R15+T15+V15+X15+Z15</f>
        <v>340</v>
      </c>
      <c r="AC15" s="12" t="n">
        <f aca="false">+E15+G15+I15+K15+M15+O15+Q15+S15+U15+W15+Y15+AA15</f>
        <v>1591.2</v>
      </c>
      <c r="AD15" s="13" t="n">
        <f aca="false">+AB15</f>
        <v>340</v>
      </c>
      <c r="AE15" s="14" t="n">
        <v>2697.34</v>
      </c>
    </row>
    <row r="16" customFormat="false" ht="15" hidden="false" customHeight="false" outlineLevel="0" collapsed="false">
      <c r="B16" s="7" t="s">
        <v>29</v>
      </c>
      <c r="C16" s="8" t="n">
        <v>2.23</v>
      </c>
      <c r="D16" s="9" t="n">
        <v>58</v>
      </c>
      <c r="E16" s="10" t="n">
        <f aca="false">+D16*C16</f>
        <v>129.34</v>
      </c>
      <c r="F16" s="9" t="n">
        <v>48</v>
      </c>
      <c r="G16" s="10" t="n">
        <f aca="false">+F16*C16</f>
        <v>107.04</v>
      </c>
      <c r="H16" s="9" t="n">
        <v>44</v>
      </c>
      <c r="I16" s="10" t="n">
        <f aca="false">+H16*C16</f>
        <v>98.12</v>
      </c>
      <c r="J16" s="9" t="n">
        <v>46</v>
      </c>
      <c r="K16" s="10" t="n">
        <f aca="false">+J16*C16</f>
        <v>102.58</v>
      </c>
      <c r="L16" s="9" t="n">
        <v>5</v>
      </c>
      <c r="M16" s="10" t="n">
        <f aca="false">+L16*C16</f>
        <v>11.15</v>
      </c>
      <c r="N16" s="9" t="n">
        <v>4</v>
      </c>
      <c r="O16" s="10" t="n">
        <f aca="false">+N16*C16</f>
        <v>8.92</v>
      </c>
      <c r="P16" s="10" t="n">
        <v>3</v>
      </c>
      <c r="Q16" s="10" t="n">
        <f aca="false">+P16*C16</f>
        <v>6.69</v>
      </c>
      <c r="R16" s="10" t="n">
        <v>39</v>
      </c>
      <c r="S16" s="10" t="n">
        <f aca="false">+R16*C16</f>
        <v>86.97</v>
      </c>
      <c r="T16" s="10" t="n">
        <v>1</v>
      </c>
      <c r="U16" s="10" t="n">
        <f aca="false">+T16*C16</f>
        <v>2.23</v>
      </c>
      <c r="V16" s="10" t="n">
        <v>43</v>
      </c>
      <c r="W16" s="10" t="n">
        <f aca="false">+V16*C16</f>
        <v>95.89</v>
      </c>
      <c r="X16" s="10" t="n">
        <v>1</v>
      </c>
      <c r="Y16" s="10" t="n">
        <f aca="false">+X16*C16</f>
        <v>2.23</v>
      </c>
      <c r="Z16" s="10" t="n">
        <v>5</v>
      </c>
      <c r="AA16" s="10" t="n">
        <f aca="false">+Z16*C16</f>
        <v>11.15</v>
      </c>
      <c r="AB16" s="11" t="n">
        <f aca="false">+D16+F16+H16+J16+L16+N16+P16+R16+T16+V16+X16+Z16</f>
        <v>297</v>
      </c>
      <c r="AC16" s="12" t="n">
        <f aca="false">+E16+G16+I16+K16+M16+O16+Q16+S16+U16+W16+Y16+AA16</f>
        <v>662.31</v>
      </c>
      <c r="AD16" s="13" t="n">
        <f aca="false">+AB16</f>
        <v>297</v>
      </c>
      <c r="AE16" s="14" t="n">
        <v>1176.02</v>
      </c>
    </row>
    <row r="18" customFormat="false" ht="15" hidden="false" customHeight="false" outlineLevel="0" collapsed="false">
      <c r="B18" s="1" t="s">
        <v>30</v>
      </c>
      <c r="P18" s="1"/>
      <c r="Q18" s="1"/>
      <c r="R18" s="1"/>
      <c r="S18" s="1"/>
      <c r="T18" s="1"/>
      <c r="V18" s="1"/>
      <c r="W18" s="1" t="s">
        <v>31</v>
      </c>
      <c r="X18" s="1"/>
      <c r="Y18" s="1"/>
      <c r="Z18" s="1"/>
      <c r="AA18" s="1"/>
      <c r="AC18" s="16" t="n">
        <f aca="false">SUM(AC6:AC17)</f>
        <v>47090.7</v>
      </c>
      <c r="AE18" s="17" t="n">
        <f aca="false">SUM(AE6:AE17)</f>
        <v>82035.45</v>
      </c>
    </row>
    <row r="19" customFormat="false" ht="15" hidden="false" customHeight="false" outlineLevel="0" collapsed="false">
      <c r="AE19" s="18" t="n">
        <f aca="false">+AE18/AC18</f>
        <v>1.74207327561493</v>
      </c>
    </row>
    <row r="21" customFormat="false" ht="15" hidden="false" customHeight="false" outlineLevel="0" collapsed="false">
      <c r="C21" s="1" t="s">
        <v>32</v>
      </c>
    </row>
    <row r="23" customFormat="false" ht="15" hidden="false" customHeight="true" outlineLevel="0" collapsed="false">
      <c r="B23" s="2" t="s">
        <v>1</v>
      </c>
      <c r="C23" s="3" t="s">
        <v>2</v>
      </c>
      <c r="D23" s="4" t="s">
        <v>3</v>
      </c>
      <c r="E23" s="4"/>
      <c r="F23" s="4" t="s">
        <v>4</v>
      </c>
      <c r="G23" s="4"/>
      <c r="H23" s="4" t="s">
        <v>5</v>
      </c>
      <c r="I23" s="4"/>
      <c r="J23" s="4" t="s">
        <v>6</v>
      </c>
      <c r="K23" s="4"/>
      <c r="L23" s="4" t="s">
        <v>7</v>
      </c>
      <c r="M23" s="4"/>
      <c r="N23" s="4" t="s">
        <v>8</v>
      </c>
      <c r="O23" s="4"/>
      <c r="P23" s="4" t="s">
        <v>9</v>
      </c>
      <c r="Q23" s="4"/>
      <c r="R23" s="4" t="s">
        <v>10</v>
      </c>
      <c r="S23" s="4"/>
      <c r="T23" s="4" t="s">
        <v>11</v>
      </c>
      <c r="U23" s="4"/>
      <c r="V23" s="4" t="s">
        <v>12</v>
      </c>
      <c r="W23" s="4"/>
      <c r="X23" s="4" t="s">
        <v>13</v>
      </c>
      <c r="Y23" s="4"/>
      <c r="Z23" s="4" t="s">
        <v>14</v>
      </c>
      <c r="AA23" s="4"/>
      <c r="AB23" s="5" t="s">
        <v>15</v>
      </c>
      <c r="AC23" s="5"/>
      <c r="AD23" s="6" t="s">
        <v>16</v>
      </c>
      <c r="AE23" s="6"/>
    </row>
    <row r="24" customFormat="false" ht="15" hidden="false" customHeight="false" outlineLevel="0" collapsed="false">
      <c r="B24" s="2"/>
      <c r="C24" s="2"/>
      <c r="D24" s="4" t="s">
        <v>17</v>
      </c>
      <c r="E24" s="4" t="s">
        <v>18</v>
      </c>
      <c r="F24" s="4" t="s">
        <v>17</v>
      </c>
      <c r="G24" s="4" t="s">
        <v>18</v>
      </c>
      <c r="H24" s="4" t="s">
        <v>17</v>
      </c>
      <c r="I24" s="4" t="s">
        <v>18</v>
      </c>
      <c r="J24" s="4" t="s">
        <v>17</v>
      </c>
      <c r="K24" s="4" t="s">
        <v>18</v>
      </c>
      <c r="L24" s="4" t="s">
        <v>17</v>
      </c>
      <c r="M24" s="4" t="s">
        <v>18</v>
      </c>
      <c r="N24" s="4" t="s">
        <v>17</v>
      </c>
      <c r="O24" s="4" t="s">
        <v>18</v>
      </c>
      <c r="P24" s="4" t="s">
        <v>17</v>
      </c>
      <c r="Q24" s="4" t="s">
        <v>18</v>
      </c>
      <c r="R24" s="4" t="s">
        <v>17</v>
      </c>
      <c r="S24" s="4" t="s">
        <v>18</v>
      </c>
      <c r="T24" s="4" t="s">
        <v>17</v>
      </c>
      <c r="U24" s="4" t="s">
        <v>18</v>
      </c>
      <c r="V24" s="4" t="s">
        <v>17</v>
      </c>
      <c r="W24" s="4" t="s">
        <v>18</v>
      </c>
      <c r="X24" s="4" t="s">
        <v>17</v>
      </c>
      <c r="Y24" s="4" t="s">
        <v>18</v>
      </c>
      <c r="Z24" s="4" t="s">
        <v>17</v>
      </c>
      <c r="AA24" s="4" t="s">
        <v>18</v>
      </c>
      <c r="AB24" s="5" t="s">
        <v>17</v>
      </c>
      <c r="AC24" s="5" t="s">
        <v>18</v>
      </c>
      <c r="AD24" s="6" t="s">
        <v>17</v>
      </c>
      <c r="AE24" s="6" t="s">
        <v>18</v>
      </c>
    </row>
    <row r="25" customFormat="false" ht="15" hidden="false" customHeight="false" outlineLevel="0" collapsed="false">
      <c r="B25" s="7" t="s">
        <v>33</v>
      </c>
      <c r="C25" s="8" t="n">
        <v>11.7</v>
      </c>
      <c r="D25" s="9" t="n">
        <v>109</v>
      </c>
      <c r="E25" s="10" t="n">
        <f aca="false">+D25*C25</f>
        <v>1275.3</v>
      </c>
      <c r="F25" s="9" t="n">
        <v>6</v>
      </c>
      <c r="G25" s="10" t="n">
        <f aca="false">+F25*C25</f>
        <v>70.2</v>
      </c>
      <c r="H25" s="9" t="n">
        <v>48</v>
      </c>
      <c r="I25" s="10" t="n">
        <f aca="false">+H25*C25</f>
        <v>561.6</v>
      </c>
      <c r="J25" s="9" t="n">
        <v>49</v>
      </c>
      <c r="K25" s="10" t="n">
        <f aca="false">+J25*C25</f>
        <v>573.3</v>
      </c>
      <c r="L25" s="9" t="n">
        <v>41</v>
      </c>
      <c r="M25" s="10" t="n">
        <f aca="false">+L25*C25</f>
        <v>479.7</v>
      </c>
      <c r="N25" s="9" t="n">
        <v>47</v>
      </c>
      <c r="O25" s="10" t="n">
        <f aca="false">+N25*C25</f>
        <v>549.9</v>
      </c>
      <c r="P25" s="10" t="n">
        <v>4</v>
      </c>
      <c r="Q25" s="10" t="n">
        <f aca="false">+P25*C25</f>
        <v>46.8</v>
      </c>
      <c r="R25" s="10" t="n">
        <v>49</v>
      </c>
      <c r="S25" s="10" t="n">
        <f aca="false">+R25*C25</f>
        <v>573.3</v>
      </c>
      <c r="T25" s="10" t="n">
        <v>56</v>
      </c>
      <c r="U25" s="10" t="n">
        <f aca="false">+T25*C25</f>
        <v>655.2</v>
      </c>
      <c r="V25" s="10" t="n">
        <v>51</v>
      </c>
      <c r="W25" s="10" t="n">
        <f aca="false">+V25*C25</f>
        <v>596.7</v>
      </c>
      <c r="X25" s="10" t="n">
        <v>62</v>
      </c>
      <c r="Y25" s="10" t="n">
        <f aca="false">+X25*C25</f>
        <v>725.4</v>
      </c>
      <c r="Z25" s="10" t="n">
        <v>58</v>
      </c>
      <c r="AA25" s="10" t="n">
        <f aca="false">+Z25*C25</f>
        <v>678.6</v>
      </c>
      <c r="AB25" s="11" t="n">
        <f aca="false">+D25+F25+H25+J25+L25+N25+P25+R25+T25+V25+X25+Z25</f>
        <v>580</v>
      </c>
      <c r="AC25" s="12" t="n">
        <f aca="false">+E25+G25+I25+K25+M25+O25+Q25+S25+U25+W25+Y25+AA25</f>
        <v>6786</v>
      </c>
      <c r="AD25" s="13" t="n">
        <f aca="false">+AB25</f>
        <v>580</v>
      </c>
      <c r="AE25" s="14" t="n">
        <v>9685.01</v>
      </c>
    </row>
    <row r="26" customFormat="false" ht="15" hidden="false" customHeight="false" outlineLevel="0" collapsed="false">
      <c r="B26" s="7" t="s">
        <v>34</v>
      </c>
      <c r="C26" s="8" t="n">
        <v>11.71</v>
      </c>
      <c r="D26" s="9" t="n">
        <v>48</v>
      </c>
      <c r="E26" s="10" t="n">
        <f aca="false">+D26*C26</f>
        <v>562.08</v>
      </c>
      <c r="F26" s="9" t="n">
        <v>46</v>
      </c>
      <c r="G26" s="10" t="n">
        <f aca="false">+F26*C26</f>
        <v>538.66</v>
      </c>
      <c r="H26" s="9" t="n">
        <v>41</v>
      </c>
      <c r="I26" s="10" t="n">
        <f aca="false">+H26*C26</f>
        <v>480.11</v>
      </c>
      <c r="J26" s="9" t="n">
        <v>38</v>
      </c>
      <c r="K26" s="10" t="n">
        <f aca="false">+J26*C26</f>
        <v>444.98</v>
      </c>
      <c r="L26" s="9" t="n">
        <v>35</v>
      </c>
      <c r="M26" s="10" t="n">
        <f aca="false">+L26*C26</f>
        <v>409.85</v>
      </c>
      <c r="N26" s="9" t="n">
        <v>36</v>
      </c>
      <c r="O26" s="10" t="n">
        <f aca="false">+N26*C26</f>
        <v>421.56</v>
      </c>
      <c r="P26" s="10" t="n">
        <v>39</v>
      </c>
      <c r="Q26" s="10" t="n">
        <f aca="false">+P26*C26</f>
        <v>456.69</v>
      </c>
      <c r="R26" s="10" t="n">
        <v>41</v>
      </c>
      <c r="S26" s="10" t="n">
        <f aca="false">+R26*C26</f>
        <v>480.11</v>
      </c>
      <c r="T26" s="10" t="n">
        <v>46</v>
      </c>
      <c r="U26" s="10" t="n">
        <f aca="false">+T26*C26</f>
        <v>538.66</v>
      </c>
      <c r="V26" s="10" t="n">
        <v>43</v>
      </c>
      <c r="W26" s="10" t="n">
        <f aca="false">+V26*C26</f>
        <v>503.53</v>
      </c>
      <c r="X26" s="10" t="n">
        <v>47</v>
      </c>
      <c r="Y26" s="10" t="n">
        <f aca="false">+X26*C26</f>
        <v>550.37</v>
      </c>
      <c r="Z26" s="10" t="n">
        <v>45</v>
      </c>
      <c r="AA26" s="10" t="n">
        <f aca="false">+Z26*C26</f>
        <v>526.95</v>
      </c>
      <c r="AB26" s="11" t="n">
        <f aca="false">+D26+F26+H26+J26+L26+N26+P26+R26+T26+V26+X26+Z26</f>
        <v>505</v>
      </c>
      <c r="AC26" s="12" t="n">
        <f aca="false">+E26+G26+I26+K26+M26+O26+Q26+S26+U26+W26+Y26+AA26</f>
        <v>5913.55</v>
      </c>
      <c r="AD26" s="13" t="n">
        <f aca="false">+AB26</f>
        <v>505</v>
      </c>
      <c r="AE26" s="14" t="n">
        <v>8382.95</v>
      </c>
    </row>
    <row r="27" customFormat="false" ht="15" hidden="false" customHeight="false" outlineLevel="0" collapsed="false">
      <c r="B27" s="7" t="s">
        <v>35</v>
      </c>
      <c r="C27" s="8" t="n">
        <v>24.91</v>
      </c>
      <c r="D27" s="9" t="n">
        <v>18</v>
      </c>
      <c r="E27" s="10" t="n">
        <f aca="false">+D27*C27</f>
        <v>448.38</v>
      </c>
      <c r="F27" s="9" t="n">
        <v>14</v>
      </c>
      <c r="G27" s="10" t="n">
        <f aca="false">+F27*C27</f>
        <v>348.74</v>
      </c>
      <c r="H27" s="9" t="n">
        <v>14</v>
      </c>
      <c r="I27" s="10" t="n">
        <f aca="false">+H27*C27</f>
        <v>348.74</v>
      </c>
      <c r="J27" s="9" t="n">
        <v>14</v>
      </c>
      <c r="K27" s="10" t="n">
        <f aca="false">+J27*C27</f>
        <v>348.74</v>
      </c>
      <c r="L27" s="9" t="n">
        <v>15</v>
      </c>
      <c r="M27" s="10" t="n">
        <f aca="false">+L27*C27</f>
        <v>373.65</v>
      </c>
      <c r="N27" s="9" t="n">
        <v>13</v>
      </c>
      <c r="O27" s="10" t="n">
        <f aca="false">+N27*C27</f>
        <v>323.83</v>
      </c>
      <c r="P27" s="10" t="n">
        <v>14</v>
      </c>
      <c r="Q27" s="10" t="n">
        <f aca="false">+P27*C27</f>
        <v>348.74</v>
      </c>
      <c r="R27" s="10" t="n">
        <v>17</v>
      </c>
      <c r="S27" s="10" t="n">
        <f aca="false">+R27*C27</f>
        <v>423.47</v>
      </c>
      <c r="T27" s="10" t="n">
        <v>15</v>
      </c>
      <c r="U27" s="10" t="n">
        <f aca="false">+T27*C27</f>
        <v>373.65</v>
      </c>
      <c r="V27" s="10" t="n">
        <v>15</v>
      </c>
      <c r="W27" s="10" t="n">
        <f aca="false">+V27*C27</f>
        <v>373.65</v>
      </c>
      <c r="X27" s="10" t="n">
        <v>18</v>
      </c>
      <c r="Y27" s="10" t="n">
        <f aca="false">+X27*C27</f>
        <v>448.38</v>
      </c>
      <c r="Z27" s="10" t="n">
        <v>17</v>
      </c>
      <c r="AA27" s="10" t="n">
        <f aca="false">+Z27*C27</f>
        <v>423.47</v>
      </c>
      <c r="AB27" s="11" t="n">
        <f aca="false">+D27+F27+H27+J27+L27+N27+P27+R27+T27+V27+X27+Z27</f>
        <v>184</v>
      </c>
      <c r="AC27" s="12" t="n">
        <f aca="false">+E27+G27+I27+K27+M27+O27+Q27+S27+U27+W27+Y27+AA27</f>
        <v>4583.44</v>
      </c>
      <c r="AD27" s="13" t="n">
        <f aca="false">+AB27</f>
        <v>184</v>
      </c>
      <c r="AE27" s="14" t="n">
        <v>6328.23</v>
      </c>
    </row>
    <row r="28" customFormat="false" ht="15" hidden="false" customHeight="false" outlineLevel="0" collapsed="false">
      <c r="B28" s="7" t="s">
        <v>36</v>
      </c>
      <c r="C28" s="8" t="n">
        <v>6.1</v>
      </c>
      <c r="D28" s="9" t="n">
        <v>4</v>
      </c>
      <c r="E28" s="10" t="n">
        <f aca="false">+D28*C28</f>
        <v>24.4</v>
      </c>
      <c r="F28" s="9" t="n">
        <v>5</v>
      </c>
      <c r="G28" s="10" t="n">
        <f aca="false">+F28*C28</f>
        <v>30.5</v>
      </c>
      <c r="H28" s="9" t="n">
        <v>42</v>
      </c>
      <c r="I28" s="10" t="n">
        <f aca="false">+H28*C28</f>
        <v>256.2</v>
      </c>
      <c r="J28" s="9" t="n">
        <v>40</v>
      </c>
      <c r="K28" s="10" t="n">
        <f aca="false">+J28*C28</f>
        <v>244</v>
      </c>
      <c r="L28" s="9" t="n">
        <v>1</v>
      </c>
      <c r="M28" s="10" t="n">
        <f aca="false">+L28*C28</f>
        <v>6.1</v>
      </c>
      <c r="N28" s="9" t="n">
        <v>34</v>
      </c>
      <c r="O28" s="10" t="n">
        <f aca="false">+N28*C28</f>
        <v>207.4</v>
      </c>
      <c r="P28" s="10" t="n">
        <v>1</v>
      </c>
      <c r="Q28" s="10" t="n">
        <f aca="false">+P28*C28</f>
        <v>6.1</v>
      </c>
      <c r="R28" s="10" t="n">
        <v>42</v>
      </c>
      <c r="S28" s="10" t="n">
        <f aca="false">+R28*C28</f>
        <v>256.2</v>
      </c>
      <c r="T28" s="10" t="n">
        <v>3</v>
      </c>
      <c r="U28" s="10" t="n">
        <f aca="false">+T28*C28</f>
        <v>18.3</v>
      </c>
      <c r="V28" s="10" t="n">
        <v>2</v>
      </c>
      <c r="W28" s="10" t="n">
        <f aca="false">+V28*C28</f>
        <v>12.2</v>
      </c>
      <c r="X28" s="10" t="n">
        <v>5</v>
      </c>
      <c r="Y28" s="10" t="n">
        <f aca="false">+X28*C28</f>
        <v>30.5</v>
      </c>
      <c r="Z28" s="10" t="n">
        <v>6</v>
      </c>
      <c r="AA28" s="10" t="n">
        <f aca="false">+Z28*C28</f>
        <v>36.6</v>
      </c>
      <c r="AB28" s="11" t="n">
        <f aca="false">+D28+F28+H28+J28+L28+N28+P28+R28+T28+V28+X28+Z28</f>
        <v>185</v>
      </c>
      <c r="AC28" s="12" t="n">
        <f aca="false">+E28+G28+I28+K28+M28+O28+Q28+S28+U28+W28+Y28+AA28</f>
        <v>1128.5</v>
      </c>
      <c r="AD28" s="13" t="n">
        <f aca="false">+AB28</f>
        <v>185</v>
      </c>
      <c r="AE28" s="14" t="n">
        <v>1633.93</v>
      </c>
    </row>
    <row r="29" customFormat="false" ht="15" hidden="false" customHeight="false" outlineLevel="0" collapsed="false">
      <c r="B29" s="7" t="s">
        <v>37</v>
      </c>
      <c r="C29" s="8" t="n">
        <v>66.8</v>
      </c>
      <c r="D29" s="9" t="n">
        <v>6</v>
      </c>
      <c r="E29" s="10" t="n">
        <f aca="false">+D29*C29</f>
        <v>400.8</v>
      </c>
      <c r="F29" s="9" t="n">
        <v>5</v>
      </c>
      <c r="G29" s="10" t="n">
        <f aca="false">+F29*C29</f>
        <v>334</v>
      </c>
      <c r="H29" s="9" t="n">
        <v>5</v>
      </c>
      <c r="I29" s="10" t="n">
        <f aca="false">+H29*C29</f>
        <v>334</v>
      </c>
      <c r="J29" s="9" t="n">
        <v>5</v>
      </c>
      <c r="K29" s="10" t="n">
        <f aca="false">+J29*C29</f>
        <v>334</v>
      </c>
      <c r="L29" s="9" t="n">
        <v>4</v>
      </c>
      <c r="M29" s="10" t="n">
        <f aca="false">+L29*C29</f>
        <v>267.2</v>
      </c>
      <c r="N29" s="9" t="n">
        <v>1</v>
      </c>
      <c r="O29" s="10" t="n">
        <f aca="false">+N29*C29</f>
        <v>66.8</v>
      </c>
      <c r="P29" s="10" t="n">
        <v>5</v>
      </c>
      <c r="Q29" s="10" t="n">
        <f aca="false">+P29*C29</f>
        <v>334</v>
      </c>
      <c r="R29" s="10" t="n">
        <v>5</v>
      </c>
      <c r="S29" s="10" t="n">
        <f aca="false">+R29*C29</f>
        <v>334</v>
      </c>
      <c r="T29" s="10" t="n">
        <v>1</v>
      </c>
      <c r="U29" s="10" t="n">
        <f aca="false">+T29*C29</f>
        <v>66.8</v>
      </c>
      <c r="V29" s="10" t="n">
        <v>6</v>
      </c>
      <c r="W29" s="10" t="n">
        <f aca="false">+V29*C29</f>
        <v>400.8</v>
      </c>
      <c r="X29" s="10" t="n">
        <v>6</v>
      </c>
      <c r="Y29" s="10" t="n">
        <f aca="false">+X29*C29</f>
        <v>400.8</v>
      </c>
      <c r="Z29" s="10" t="n">
        <v>0</v>
      </c>
      <c r="AA29" s="10" t="n">
        <f aca="false">+Z29*C29</f>
        <v>0</v>
      </c>
      <c r="AB29" s="11" t="n">
        <f aca="false">+D29+F29+H29+J29+L29+N29+P29+R29+T29+V29+X29+Z29</f>
        <v>49</v>
      </c>
      <c r="AC29" s="12" t="n">
        <f aca="false">+E29+G29+I29+K29+M29+O29+Q29+S29+U29+W29+Y29+AA29</f>
        <v>3273.2</v>
      </c>
      <c r="AD29" s="13" t="n">
        <f aca="false">+AB29</f>
        <v>49</v>
      </c>
      <c r="AE29" s="14" t="n">
        <v>4645.29</v>
      </c>
    </row>
    <row r="30" customFormat="false" ht="15" hidden="false" customHeight="false" outlineLevel="0" collapsed="false">
      <c r="B30" s="7" t="s">
        <v>38</v>
      </c>
      <c r="C30" s="8" t="n">
        <v>1342.55</v>
      </c>
      <c r="D30" s="9" t="n">
        <v>2</v>
      </c>
      <c r="E30" s="10" t="n">
        <f aca="false">+D30*C30</f>
        <v>2685.1</v>
      </c>
      <c r="F30" s="9" t="n">
        <v>3</v>
      </c>
      <c r="G30" s="10" t="n">
        <f aca="false">+F30*C30</f>
        <v>4027.65</v>
      </c>
      <c r="H30" s="9" t="n">
        <v>2</v>
      </c>
      <c r="I30" s="10" t="n">
        <f aca="false">+H30*C30</f>
        <v>2685.1</v>
      </c>
      <c r="J30" s="9" t="n">
        <v>0</v>
      </c>
      <c r="K30" s="10" t="n">
        <f aca="false">+J30*C30</f>
        <v>0</v>
      </c>
      <c r="L30" s="9" t="n">
        <v>0</v>
      </c>
      <c r="M30" s="10" t="n">
        <f aca="false">+L30*C30</f>
        <v>0</v>
      </c>
      <c r="N30" s="9" t="n">
        <v>0</v>
      </c>
      <c r="O30" s="10" t="n">
        <f aca="false">+N30*C30</f>
        <v>0</v>
      </c>
      <c r="P30" s="10" t="n">
        <v>2</v>
      </c>
      <c r="Q30" s="10" t="n">
        <f aca="false">+P30*C30</f>
        <v>2685.1</v>
      </c>
      <c r="R30" s="10" t="n">
        <v>0</v>
      </c>
      <c r="S30" s="10" t="n">
        <f aca="false">+R30*C30</f>
        <v>0</v>
      </c>
      <c r="T30" s="10" t="n">
        <v>2</v>
      </c>
      <c r="U30" s="10" t="n">
        <f aca="false">+T30*C30</f>
        <v>2685.1</v>
      </c>
      <c r="V30" s="10" t="n">
        <v>3</v>
      </c>
      <c r="W30" s="10" t="n">
        <f aca="false">+V30*C30</f>
        <v>4027.65</v>
      </c>
      <c r="X30" s="10" t="n">
        <v>0</v>
      </c>
      <c r="Y30" s="10" t="n">
        <f aca="false">+X30*C30</f>
        <v>0</v>
      </c>
      <c r="Z30" s="10" t="n">
        <v>3</v>
      </c>
      <c r="AA30" s="10" t="n">
        <f aca="false">+Z30*C30</f>
        <v>4027.65</v>
      </c>
      <c r="AB30" s="11" t="n">
        <f aca="false">+D30+F30+H30+J30+L30+N30+P30+R30+T30+V30+X30+Z30</f>
        <v>17</v>
      </c>
      <c r="AC30" s="12" t="n">
        <f aca="false">+E30+G30+I30+K30+M30+O30+Q30+S30+U30+W30+Y30+AA30</f>
        <v>22823.35</v>
      </c>
      <c r="AD30" s="13" t="n">
        <f aca="false">+AB30</f>
        <v>17</v>
      </c>
      <c r="AE30" s="14" t="n">
        <v>31549.49</v>
      </c>
    </row>
    <row r="31" customFormat="false" ht="15" hidden="false" customHeight="false" outlineLevel="0" collapsed="false">
      <c r="B31" s="7" t="s">
        <v>39</v>
      </c>
      <c r="C31" s="8" t="n">
        <v>3.54</v>
      </c>
      <c r="D31" s="9" t="n">
        <v>54</v>
      </c>
      <c r="E31" s="10" t="n">
        <f aca="false">+D31*C31</f>
        <v>191.16</v>
      </c>
      <c r="F31" s="9" t="n">
        <v>3</v>
      </c>
      <c r="G31" s="10" t="n">
        <f aca="false">+F31*C31</f>
        <v>10.62</v>
      </c>
      <c r="H31" s="9" t="n">
        <v>2</v>
      </c>
      <c r="I31" s="10" t="n">
        <f aca="false">+H31*C31</f>
        <v>7.08</v>
      </c>
      <c r="J31" s="9" t="n">
        <v>45</v>
      </c>
      <c r="K31" s="10" t="n">
        <f aca="false">+J31*C31</f>
        <v>159.3</v>
      </c>
      <c r="L31" s="9" t="n">
        <v>4</v>
      </c>
      <c r="M31" s="10" t="n">
        <f aca="false">+L31*C31</f>
        <v>14.16</v>
      </c>
      <c r="N31" s="9" t="n">
        <v>43</v>
      </c>
      <c r="O31" s="10" t="n">
        <f aca="false">+N31*C31</f>
        <v>152.22</v>
      </c>
      <c r="P31" s="10" t="n">
        <v>40</v>
      </c>
      <c r="Q31" s="10" t="n">
        <f aca="false">+P31*C31</f>
        <v>141.6</v>
      </c>
      <c r="R31" s="10" t="n">
        <v>42</v>
      </c>
      <c r="S31" s="10" t="n">
        <f aca="false">+R31*C31</f>
        <v>148.68</v>
      </c>
      <c r="T31" s="10" t="n">
        <v>45</v>
      </c>
      <c r="U31" s="10" t="n">
        <f aca="false">+T31*C31</f>
        <v>159.3</v>
      </c>
      <c r="V31" s="10" t="n">
        <v>6</v>
      </c>
      <c r="W31" s="10" t="n">
        <f aca="false">+V31*C31</f>
        <v>21.24</v>
      </c>
      <c r="X31" s="10" t="n">
        <v>0</v>
      </c>
      <c r="Y31" s="10" t="n">
        <f aca="false">+X31*C31</f>
        <v>0</v>
      </c>
      <c r="Z31" s="10" t="n">
        <v>1</v>
      </c>
      <c r="AA31" s="10" t="n">
        <f aca="false">+Z31*C31</f>
        <v>3.54</v>
      </c>
      <c r="AB31" s="11" t="n">
        <f aca="false">+D31+F31+H31+J31+L31+N31+P31+R31+T31+V31+X31+Z31</f>
        <v>285</v>
      </c>
      <c r="AC31" s="12" t="n">
        <f aca="false">+E31+G31+I31+K31+M31+O31+Q31+S31+U31+W31+Y31+AA31</f>
        <v>1008.9</v>
      </c>
      <c r="AD31" s="13" t="n">
        <f aca="false">+AB31</f>
        <v>285</v>
      </c>
      <c r="AE31" s="14" t="n">
        <v>1427.4</v>
      </c>
    </row>
    <row r="33" customFormat="false" ht="15" hidden="false" customHeight="false" outlineLevel="0" collapsed="false">
      <c r="B33" s="1" t="s">
        <v>30</v>
      </c>
      <c r="P33" s="1"/>
      <c r="Q33" s="1"/>
      <c r="R33" s="1"/>
      <c r="S33" s="1"/>
      <c r="T33" s="1"/>
      <c r="V33" s="1"/>
      <c r="W33" s="1" t="s">
        <v>31</v>
      </c>
      <c r="X33" s="1"/>
      <c r="Y33" s="1"/>
      <c r="Z33" s="1"/>
      <c r="AA33" s="1"/>
      <c r="AC33" s="16" t="n">
        <f aca="false">SUM(AC25:AC32)</f>
        <v>45516.94</v>
      </c>
      <c r="AE33" s="17" t="n">
        <f aca="false">SUM(AE25:AE32)</f>
        <v>63652.3</v>
      </c>
    </row>
    <row r="34" customFormat="false" ht="15" hidden="false" customHeight="false" outlineLevel="0" collapsed="false">
      <c r="AE34" s="18" t="n">
        <f aca="false">+AE33/AC33</f>
        <v>1.39843100173254</v>
      </c>
    </row>
    <row r="37" customFormat="false" ht="15" hidden="false" customHeight="false" outlineLevel="0" collapsed="false">
      <c r="C37" s="1" t="s">
        <v>40</v>
      </c>
    </row>
    <row r="39" customFormat="false" ht="15" hidden="false" customHeight="true" outlineLevel="0" collapsed="false">
      <c r="B39" s="2" t="s">
        <v>1</v>
      </c>
      <c r="C39" s="3" t="s">
        <v>2</v>
      </c>
      <c r="D39" s="4" t="s">
        <v>3</v>
      </c>
      <c r="E39" s="4"/>
      <c r="F39" s="4" t="s">
        <v>4</v>
      </c>
      <c r="G39" s="4"/>
      <c r="H39" s="4" t="s">
        <v>5</v>
      </c>
      <c r="I39" s="4"/>
      <c r="J39" s="4" t="s">
        <v>6</v>
      </c>
      <c r="K39" s="4"/>
      <c r="L39" s="4" t="s">
        <v>7</v>
      </c>
      <c r="M39" s="4"/>
      <c r="N39" s="4" t="s">
        <v>8</v>
      </c>
      <c r="O39" s="4"/>
      <c r="P39" s="4" t="s">
        <v>9</v>
      </c>
      <c r="Q39" s="4"/>
      <c r="R39" s="4" t="s">
        <v>10</v>
      </c>
      <c r="S39" s="4"/>
      <c r="T39" s="4" t="s">
        <v>11</v>
      </c>
      <c r="U39" s="4"/>
      <c r="V39" s="4" t="s">
        <v>12</v>
      </c>
      <c r="W39" s="4"/>
      <c r="X39" s="4" t="s">
        <v>13</v>
      </c>
      <c r="Y39" s="4"/>
      <c r="Z39" s="4" t="s">
        <v>14</v>
      </c>
      <c r="AA39" s="4"/>
      <c r="AB39" s="5" t="s">
        <v>15</v>
      </c>
      <c r="AC39" s="5"/>
      <c r="AD39" s="6" t="s">
        <v>16</v>
      </c>
      <c r="AE39" s="6"/>
    </row>
    <row r="40" customFormat="false" ht="15" hidden="false" customHeight="false" outlineLevel="0" collapsed="false">
      <c r="B40" s="2"/>
      <c r="C40" s="2"/>
      <c r="D40" s="4" t="s">
        <v>17</v>
      </c>
      <c r="E40" s="4" t="s">
        <v>18</v>
      </c>
      <c r="F40" s="4" t="s">
        <v>17</v>
      </c>
      <c r="G40" s="4" t="s">
        <v>18</v>
      </c>
      <c r="H40" s="4" t="s">
        <v>17</v>
      </c>
      <c r="I40" s="4" t="s">
        <v>18</v>
      </c>
      <c r="J40" s="4" t="s">
        <v>17</v>
      </c>
      <c r="K40" s="4" t="s">
        <v>18</v>
      </c>
      <c r="L40" s="4" t="s">
        <v>17</v>
      </c>
      <c r="M40" s="4" t="s">
        <v>18</v>
      </c>
      <c r="N40" s="4" t="s">
        <v>17</v>
      </c>
      <c r="O40" s="4" t="s">
        <v>18</v>
      </c>
      <c r="P40" s="4" t="s">
        <v>17</v>
      </c>
      <c r="Q40" s="4" t="s">
        <v>18</v>
      </c>
      <c r="R40" s="4" t="s">
        <v>17</v>
      </c>
      <c r="S40" s="4" t="s">
        <v>18</v>
      </c>
      <c r="T40" s="4" t="s">
        <v>17</v>
      </c>
      <c r="U40" s="4" t="s">
        <v>18</v>
      </c>
      <c r="V40" s="4" t="s">
        <v>17</v>
      </c>
      <c r="W40" s="4" t="s">
        <v>18</v>
      </c>
      <c r="X40" s="4" t="s">
        <v>17</v>
      </c>
      <c r="Y40" s="4" t="s">
        <v>18</v>
      </c>
      <c r="Z40" s="4" t="s">
        <v>17</v>
      </c>
      <c r="AA40" s="4" t="s">
        <v>18</v>
      </c>
      <c r="AB40" s="5" t="s">
        <v>17</v>
      </c>
      <c r="AC40" s="5" t="s">
        <v>18</v>
      </c>
      <c r="AD40" s="6" t="s">
        <v>17</v>
      </c>
      <c r="AE40" s="6" t="s">
        <v>18</v>
      </c>
    </row>
    <row r="41" customFormat="false" ht="15" hidden="false" customHeight="false" outlineLevel="0" collapsed="false">
      <c r="B41" s="7" t="s">
        <v>41</v>
      </c>
      <c r="C41" s="8" t="n">
        <v>5.11</v>
      </c>
      <c r="D41" s="9" t="n">
        <v>23</v>
      </c>
      <c r="E41" s="10" t="n">
        <f aca="false">+D41*C41</f>
        <v>117.53</v>
      </c>
      <c r="F41" s="9" t="n">
        <v>39</v>
      </c>
      <c r="G41" s="10" t="n">
        <f aca="false">+F41*C41</f>
        <v>199.29</v>
      </c>
      <c r="H41" s="9" t="n">
        <v>1</v>
      </c>
      <c r="I41" s="10" t="n">
        <f aca="false">+H41*C41</f>
        <v>5.11</v>
      </c>
      <c r="J41" s="9" t="n">
        <v>44</v>
      </c>
      <c r="K41" s="10" t="n">
        <f aca="false">+J41*C41</f>
        <v>224.84</v>
      </c>
      <c r="L41" s="9" t="n">
        <v>44</v>
      </c>
      <c r="M41" s="10" t="n">
        <f aca="false">+L41*C41</f>
        <v>224.84</v>
      </c>
      <c r="N41" s="9" t="n">
        <v>46</v>
      </c>
      <c r="O41" s="10" t="n">
        <f aca="false">+N41*C41</f>
        <v>235.06</v>
      </c>
      <c r="P41" s="10" t="n">
        <v>41</v>
      </c>
      <c r="Q41" s="10" t="n">
        <f aca="false">+P41*C41</f>
        <v>209.51</v>
      </c>
      <c r="R41" s="10" t="n">
        <v>37</v>
      </c>
      <c r="S41" s="10" t="n">
        <f aca="false">+R41*C41</f>
        <v>189.07</v>
      </c>
      <c r="T41" s="10" t="n">
        <v>42</v>
      </c>
      <c r="U41" s="10" t="n">
        <f aca="false">+T41*C41</f>
        <v>214.62</v>
      </c>
      <c r="V41" s="10" t="n">
        <v>44</v>
      </c>
      <c r="W41" s="10" t="n">
        <f aca="false">+V41*C41</f>
        <v>224.84</v>
      </c>
      <c r="X41" s="10" t="n">
        <v>40</v>
      </c>
      <c r="Y41" s="10" t="n">
        <f aca="false">+X41*C41</f>
        <v>204.4</v>
      </c>
      <c r="Z41" s="10" t="n">
        <v>45</v>
      </c>
      <c r="AA41" s="10" t="n">
        <f aca="false">+Z41*C41</f>
        <v>229.95</v>
      </c>
      <c r="AB41" s="11" t="n">
        <f aca="false">+D41+F41+H41+J41+L41+N41+P41+R41+T41+V41+X41+Z41</f>
        <v>446</v>
      </c>
      <c r="AC41" s="12" t="n">
        <f aca="false">+E41+G41+I41+K41+M41+O41+Q41+S41+U41+W41+Y41+AA41</f>
        <v>2279.06</v>
      </c>
      <c r="AD41" s="13" t="n">
        <f aca="false">+AB41</f>
        <v>446</v>
      </c>
      <c r="AE41" s="14" t="n">
        <v>3105.67</v>
      </c>
    </row>
    <row r="42" customFormat="false" ht="15" hidden="false" customHeight="false" outlineLevel="0" collapsed="false">
      <c r="B42" s="7" t="s">
        <v>42</v>
      </c>
      <c r="C42" s="8" t="n">
        <v>67.57</v>
      </c>
      <c r="D42" s="9" t="n">
        <v>0</v>
      </c>
      <c r="E42" s="10" t="n">
        <f aca="false">+D42*C42</f>
        <v>0</v>
      </c>
      <c r="F42" s="9" t="n">
        <v>3</v>
      </c>
      <c r="G42" s="10" t="n">
        <f aca="false">+F42*C42</f>
        <v>202.71</v>
      </c>
      <c r="H42" s="9" t="n">
        <v>3</v>
      </c>
      <c r="I42" s="10" t="n">
        <f aca="false">+H42*C42</f>
        <v>202.71</v>
      </c>
      <c r="J42" s="9" t="n">
        <v>4</v>
      </c>
      <c r="K42" s="10" t="n">
        <f aca="false">+J42*C42</f>
        <v>270.28</v>
      </c>
      <c r="L42" s="9" t="n">
        <v>4</v>
      </c>
      <c r="M42" s="10" t="n">
        <f aca="false">+L42*C42</f>
        <v>270.28</v>
      </c>
      <c r="N42" s="9" t="n">
        <v>3</v>
      </c>
      <c r="O42" s="10" t="n">
        <f aca="false">+N42*C42</f>
        <v>202.71</v>
      </c>
      <c r="P42" s="10" t="n">
        <v>3</v>
      </c>
      <c r="Q42" s="10" t="n">
        <f aca="false">+P42*C42</f>
        <v>202.71</v>
      </c>
      <c r="R42" s="10" t="n">
        <v>4</v>
      </c>
      <c r="S42" s="10" t="n">
        <f aca="false">+R42*C42</f>
        <v>270.28</v>
      </c>
      <c r="T42" s="10" t="n">
        <v>3</v>
      </c>
      <c r="U42" s="10" t="n">
        <f aca="false">+T42*C42</f>
        <v>202.71</v>
      </c>
      <c r="V42" s="10" t="n">
        <v>3</v>
      </c>
      <c r="W42" s="10" t="n">
        <f aca="false">+V42*C42</f>
        <v>202.71</v>
      </c>
      <c r="X42" s="10" t="n">
        <v>3</v>
      </c>
      <c r="Y42" s="10" t="n">
        <f aca="false">+X42*C42</f>
        <v>202.71</v>
      </c>
      <c r="Z42" s="10" t="n">
        <v>4</v>
      </c>
      <c r="AA42" s="10" t="n">
        <f aca="false">+Z42*C42</f>
        <v>270.28</v>
      </c>
      <c r="AB42" s="11" t="n">
        <f aca="false">+D42+F42+H42+J42+L42+N42+P42+R42+T42+V42+X42+Z42</f>
        <v>37</v>
      </c>
      <c r="AC42" s="12" t="n">
        <f aca="false">+E42+G42+I42+K42+M42+O42+Q42+S42+U42+W42+Y42+AA42</f>
        <v>2500.09</v>
      </c>
      <c r="AD42" s="13" t="n">
        <f aca="false">+AB42</f>
        <v>37</v>
      </c>
      <c r="AE42" s="14" t="n">
        <v>3478</v>
      </c>
    </row>
    <row r="43" customFormat="false" ht="15" hidden="false" customHeight="false" outlineLevel="0" collapsed="false">
      <c r="B43" s="7" t="s">
        <v>43</v>
      </c>
      <c r="C43" s="8" t="n">
        <v>59.07</v>
      </c>
      <c r="D43" s="9" t="n">
        <v>6</v>
      </c>
      <c r="E43" s="10" t="n">
        <f aca="false">+D43*C43</f>
        <v>354.42</v>
      </c>
      <c r="F43" s="9" t="n">
        <v>6</v>
      </c>
      <c r="G43" s="10" t="n">
        <f aca="false">+F43*C43</f>
        <v>354.42</v>
      </c>
      <c r="H43" s="9" t="n">
        <v>7</v>
      </c>
      <c r="I43" s="10" t="n">
        <f aca="false">+H43*C43</f>
        <v>413.49</v>
      </c>
      <c r="J43" s="9" t="n">
        <v>7</v>
      </c>
      <c r="K43" s="10" t="n">
        <f aca="false">+J43*C43</f>
        <v>413.49</v>
      </c>
      <c r="L43" s="9" t="n">
        <v>6</v>
      </c>
      <c r="M43" s="10" t="n">
        <f aca="false">+L43*C43</f>
        <v>354.42</v>
      </c>
      <c r="N43" s="9" t="n">
        <v>7</v>
      </c>
      <c r="O43" s="10" t="n">
        <f aca="false">+N43*C43</f>
        <v>413.49</v>
      </c>
      <c r="P43" s="10" t="n">
        <v>6</v>
      </c>
      <c r="Q43" s="10" t="n">
        <f aca="false">+P43*C43</f>
        <v>354.42</v>
      </c>
      <c r="R43" s="10" t="n">
        <v>0</v>
      </c>
      <c r="S43" s="10" t="n">
        <f aca="false">+R43*C43</f>
        <v>0</v>
      </c>
      <c r="T43" s="10" t="n">
        <v>6</v>
      </c>
      <c r="U43" s="10" t="n">
        <f aca="false">+T43*C43</f>
        <v>354.42</v>
      </c>
      <c r="V43" s="10" t="n">
        <v>7</v>
      </c>
      <c r="W43" s="10" t="n">
        <f aca="false">+V43*C43</f>
        <v>413.49</v>
      </c>
      <c r="X43" s="10" t="n">
        <v>6</v>
      </c>
      <c r="Y43" s="10" t="n">
        <f aca="false">+X43*C43</f>
        <v>354.42</v>
      </c>
      <c r="Z43" s="10" t="n">
        <v>8</v>
      </c>
      <c r="AA43" s="10" t="n">
        <f aca="false">+Z43*C43</f>
        <v>472.56</v>
      </c>
      <c r="AB43" s="11" t="n">
        <f aca="false">+D43+F43+H43+J43+L43+N43+P43+R43+T43+V43+X43+Z43</f>
        <v>72</v>
      </c>
      <c r="AC43" s="12" t="n">
        <f aca="false">+E43+G43+I43+K43+M43+O43+Q43+S43+U43+W43+Y43+AA43</f>
        <v>4253.04</v>
      </c>
      <c r="AD43" s="13" t="n">
        <f aca="false">+AB43</f>
        <v>72</v>
      </c>
      <c r="AE43" s="14" t="n">
        <v>5907.52</v>
      </c>
    </row>
    <row r="44" customFormat="false" ht="15" hidden="false" customHeight="false" outlineLevel="0" collapsed="false">
      <c r="B44" s="7" t="s">
        <v>44</v>
      </c>
      <c r="C44" s="8" t="n">
        <v>51.92</v>
      </c>
      <c r="D44" s="9" t="n">
        <v>6</v>
      </c>
      <c r="E44" s="10" t="n">
        <f aca="false">+D44*C44</f>
        <v>311.52</v>
      </c>
      <c r="F44" s="9" t="n">
        <v>1</v>
      </c>
      <c r="G44" s="10" t="n">
        <f aca="false">+F44*C44</f>
        <v>51.92</v>
      </c>
      <c r="H44" s="9" t="n">
        <v>7</v>
      </c>
      <c r="I44" s="10" t="n">
        <f aca="false">+H44*C44</f>
        <v>363.44</v>
      </c>
      <c r="J44" s="9" t="n">
        <v>7</v>
      </c>
      <c r="K44" s="10" t="n">
        <f aca="false">+J44*C44</f>
        <v>363.44</v>
      </c>
      <c r="L44" s="9" t="n">
        <v>1</v>
      </c>
      <c r="M44" s="10" t="n">
        <f aca="false">+L44*C44</f>
        <v>51.92</v>
      </c>
      <c r="N44" s="9" t="n">
        <v>7</v>
      </c>
      <c r="O44" s="10" t="n">
        <f aca="false">+N44*C44</f>
        <v>363.44</v>
      </c>
      <c r="P44" s="10" t="n">
        <v>1</v>
      </c>
      <c r="Q44" s="10" t="n">
        <f aca="false">+P44*C44</f>
        <v>51.92</v>
      </c>
      <c r="R44" s="10" t="n">
        <v>7</v>
      </c>
      <c r="S44" s="10" t="n">
        <f aca="false">+R44*C44</f>
        <v>363.44</v>
      </c>
      <c r="T44" s="10" t="n">
        <v>0</v>
      </c>
      <c r="U44" s="10" t="n">
        <f aca="false">+T44*C44</f>
        <v>0</v>
      </c>
      <c r="V44" s="10" t="n">
        <v>7</v>
      </c>
      <c r="W44" s="10" t="n">
        <f aca="false">+V44*C44</f>
        <v>363.44</v>
      </c>
      <c r="X44" s="10" t="n">
        <v>0</v>
      </c>
      <c r="Y44" s="10" t="n">
        <f aca="false">+X44*C44</f>
        <v>0</v>
      </c>
      <c r="Z44" s="10" t="n">
        <v>1</v>
      </c>
      <c r="AA44" s="10" t="n">
        <f aca="false">+Z44*C44</f>
        <v>51.92</v>
      </c>
      <c r="AB44" s="11" t="n">
        <f aca="false">+D44+F44+H44+J44+L44+N44+P44+R44+T44+V44+X44+Z44</f>
        <v>45</v>
      </c>
      <c r="AC44" s="12" t="n">
        <f aca="false">+E44+G44+I44+K44+M44+O44+Q44+S44+U44+W44+Y44+AA44</f>
        <v>2336.4</v>
      </c>
      <c r="AD44" s="13" t="n">
        <f aca="false">+AB44</f>
        <v>45</v>
      </c>
      <c r="AE44" s="14" t="n">
        <v>3299.07</v>
      </c>
    </row>
    <row r="45" customFormat="false" ht="15" hidden="false" customHeight="false" outlineLevel="0" collapsed="false">
      <c r="B45" s="7" t="s">
        <v>45</v>
      </c>
      <c r="C45" s="8" t="n">
        <v>47.5</v>
      </c>
      <c r="D45" s="9" t="n">
        <v>6</v>
      </c>
      <c r="E45" s="10" t="n">
        <f aca="false">+D45*C45</f>
        <v>285</v>
      </c>
      <c r="F45" s="9" t="n">
        <v>6</v>
      </c>
      <c r="G45" s="10" t="n">
        <f aca="false">+F45*C45</f>
        <v>285</v>
      </c>
      <c r="H45" s="9" t="n">
        <v>7</v>
      </c>
      <c r="I45" s="10" t="n">
        <f aca="false">+H45*C45</f>
        <v>332.5</v>
      </c>
      <c r="J45" s="9" t="n">
        <v>6</v>
      </c>
      <c r="K45" s="10" t="n">
        <f aca="false">+J45*C45</f>
        <v>285</v>
      </c>
      <c r="L45" s="9" t="n">
        <v>0</v>
      </c>
      <c r="M45" s="10" t="n">
        <f aca="false">+L45*C45</f>
        <v>0</v>
      </c>
      <c r="N45" s="9" t="n">
        <v>0</v>
      </c>
      <c r="O45" s="10" t="n">
        <f aca="false">+N45*C45</f>
        <v>0</v>
      </c>
      <c r="P45" s="10" t="n">
        <v>1</v>
      </c>
      <c r="Q45" s="10" t="n">
        <f aca="false">+P45*C45</f>
        <v>47.5</v>
      </c>
      <c r="R45" s="10" t="n">
        <v>0</v>
      </c>
      <c r="S45" s="10" t="n">
        <f aca="false">+R45*C45</f>
        <v>0</v>
      </c>
      <c r="T45" s="10" t="n">
        <v>1</v>
      </c>
      <c r="U45" s="10" t="n">
        <f aca="false">+T45*C45</f>
        <v>47.5</v>
      </c>
      <c r="V45" s="10" t="n">
        <v>0</v>
      </c>
      <c r="W45" s="10" t="n">
        <f aca="false">+V45*C45</f>
        <v>0</v>
      </c>
      <c r="X45" s="10" t="n">
        <v>0</v>
      </c>
      <c r="Y45" s="10" t="n">
        <f aca="false">+X45*C45</f>
        <v>0</v>
      </c>
      <c r="Z45" s="10" t="n">
        <v>1</v>
      </c>
      <c r="AA45" s="10" t="n">
        <f aca="false">+Z45*C45</f>
        <v>47.5</v>
      </c>
      <c r="AB45" s="11" t="n">
        <f aca="false">+D45+F45+H45+J45+L45+N45+P45+R45+T45+V45+X45+Z45</f>
        <v>28</v>
      </c>
      <c r="AC45" s="12" t="n">
        <f aca="false">+E45+G45+I45+K45+M45+O45+Q45+S45+U45+W45+Y45+AA45</f>
        <v>1330</v>
      </c>
      <c r="AD45" s="13" t="n">
        <f aca="false">+AB45</f>
        <v>28</v>
      </c>
      <c r="AE45" s="14" t="n">
        <v>1848.48</v>
      </c>
    </row>
    <row r="46" customFormat="false" ht="15" hidden="false" customHeight="false" outlineLevel="0" collapsed="false">
      <c r="B46" s="7" t="s">
        <v>46</v>
      </c>
      <c r="C46" s="8" t="n">
        <v>97.13</v>
      </c>
      <c r="D46" s="9" t="n">
        <v>0</v>
      </c>
      <c r="E46" s="10" t="n">
        <f aca="false">+D46*C46</f>
        <v>0</v>
      </c>
      <c r="F46" s="9" t="n">
        <v>1</v>
      </c>
      <c r="G46" s="10" t="n">
        <f aca="false">+F46*C46</f>
        <v>97.13</v>
      </c>
      <c r="H46" s="9" t="n">
        <v>0</v>
      </c>
      <c r="I46" s="10" t="n">
        <f aca="false">+H46*C46</f>
        <v>0</v>
      </c>
      <c r="J46" s="9" t="n">
        <v>0</v>
      </c>
      <c r="K46" s="10" t="n">
        <f aca="false">+J46*C46</f>
        <v>0</v>
      </c>
      <c r="L46" s="9" t="n">
        <v>1</v>
      </c>
      <c r="M46" s="10" t="n">
        <f aca="false">+L46*C46</f>
        <v>97.13</v>
      </c>
      <c r="N46" s="9" t="n">
        <v>0</v>
      </c>
      <c r="O46" s="10" t="n">
        <f aca="false">+N46*C46</f>
        <v>0</v>
      </c>
      <c r="P46" s="10" t="n">
        <v>5</v>
      </c>
      <c r="Q46" s="10" t="n">
        <f aca="false">+P46*C46</f>
        <v>485.65</v>
      </c>
      <c r="R46" s="10" t="n">
        <v>5</v>
      </c>
      <c r="S46" s="10" t="n">
        <f aca="false">+R46*C46</f>
        <v>485.65</v>
      </c>
      <c r="T46" s="10" t="n">
        <v>5</v>
      </c>
      <c r="U46" s="10" t="n">
        <f aca="false">+T46*C46</f>
        <v>485.65</v>
      </c>
      <c r="V46" s="10" t="n">
        <v>1</v>
      </c>
      <c r="W46" s="10" t="n">
        <f aca="false">+V46*C46</f>
        <v>97.13</v>
      </c>
      <c r="X46" s="10" t="n">
        <v>0</v>
      </c>
      <c r="Y46" s="10" t="n">
        <f aca="false">+X46*C46</f>
        <v>0</v>
      </c>
      <c r="Z46" s="10" t="n">
        <v>6</v>
      </c>
      <c r="AA46" s="10" t="n">
        <f aca="false">+Z46*C46</f>
        <v>582.78</v>
      </c>
      <c r="AB46" s="11" t="n">
        <f aca="false">+D46+F46+H46+J46+L46+N46+P46+R46+T46+V46+X46+Z46</f>
        <v>24</v>
      </c>
      <c r="AC46" s="12" t="n">
        <f aca="false">+E46+G46+I46+K46+M46+O46+Q46+S46+U46+W46+Y46+AA46</f>
        <v>2331.12</v>
      </c>
      <c r="AD46" s="13" t="n">
        <f aca="false">+AB46</f>
        <v>24</v>
      </c>
      <c r="AE46" s="14" t="n">
        <v>3195.03</v>
      </c>
    </row>
    <row r="47" customFormat="false" ht="15" hidden="false" customHeight="false" outlineLevel="0" collapsed="false">
      <c r="B47" s="7" t="s">
        <v>47</v>
      </c>
      <c r="C47" s="8" t="n">
        <v>10.7</v>
      </c>
      <c r="D47" s="9" t="n">
        <v>27</v>
      </c>
      <c r="E47" s="10" t="n">
        <f aca="false">+D47*C47</f>
        <v>288.9</v>
      </c>
      <c r="F47" s="9" t="n">
        <v>1</v>
      </c>
      <c r="G47" s="10" t="n">
        <f aca="false">+F47*C47</f>
        <v>10.7</v>
      </c>
      <c r="H47" s="9" t="n">
        <v>27</v>
      </c>
      <c r="I47" s="10" t="n">
        <f aca="false">+H47*C47</f>
        <v>288.9</v>
      </c>
      <c r="J47" s="9" t="n">
        <v>28</v>
      </c>
      <c r="K47" s="10" t="n">
        <f aca="false">+J47*C47</f>
        <v>299.6</v>
      </c>
      <c r="L47" s="9" t="n">
        <v>31</v>
      </c>
      <c r="M47" s="10" t="n">
        <f aca="false">+L47*C47</f>
        <v>331.7</v>
      </c>
      <c r="N47" s="9" t="n">
        <v>1</v>
      </c>
      <c r="O47" s="10" t="n">
        <f aca="false">+N47*C47</f>
        <v>10.7</v>
      </c>
      <c r="P47" s="10" t="n">
        <v>25</v>
      </c>
      <c r="Q47" s="10" t="n">
        <f aca="false">+P47*C47</f>
        <v>267.5</v>
      </c>
      <c r="R47" s="10" t="n">
        <v>24</v>
      </c>
      <c r="S47" s="10" t="n">
        <f aca="false">+R47*C47</f>
        <v>256.8</v>
      </c>
      <c r="T47" s="10" t="n">
        <v>25</v>
      </c>
      <c r="U47" s="10" t="n">
        <f aca="false">+T47*C47</f>
        <v>267.5</v>
      </c>
      <c r="V47" s="10" t="n">
        <v>25</v>
      </c>
      <c r="W47" s="10" t="n">
        <f aca="false">+V47*C47</f>
        <v>267.5</v>
      </c>
      <c r="X47" s="10" t="n">
        <v>27</v>
      </c>
      <c r="Y47" s="10" t="n">
        <f aca="false">+X47*C47</f>
        <v>288.9</v>
      </c>
      <c r="Z47" s="10" t="n">
        <v>28</v>
      </c>
      <c r="AA47" s="10" t="n">
        <f aca="false">+Z47*C47</f>
        <v>299.6</v>
      </c>
      <c r="AB47" s="11" t="n">
        <f aca="false">+D47+F47+H47+J47+L47+N47+P47+R47+T47+V47+X47+Z47</f>
        <v>269</v>
      </c>
      <c r="AC47" s="12" t="n">
        <f aca="false">+E47+G47+I47+K47+M47+O47+Q47+S47+U47+W47+Y47+AA47</f>
        <v>2878.3</v>
      </c>
      <c r="AD47" s="13" t="n">
        <f aca="false">+AB47</f>
        <v>269</v>
      </c>
      <c r="AE47" s="14" t="n">
        <v>3894.03</v>
      </c>
    </row>
    <row r="48" customFormat="false" ht="15" hidden="false" customHeight="false" outlineLevel="0" collapsed="false">
      <c r="B48" s="7" t="s">
        <v>48</v>
      </c>
      <c r="C48" s="8" t="n">
        <v>1.92</v>
      </c>
      <c r="D48" s="9" t="n">
        <v>35</v>
      </c>
      <c r="E48" s="10" t="n">
        <f aca="false">+D48*C48</f>
        <v>67.2</v>
      </c>
      <c r="F48" s="9" t="n">
        <v>42</v>
      </c>
      <c r="G48" s="10" t="n">
        <f aca="false">+F48*C48</f>
        <v>80.64</v>
      </c>
      <c r="H48" s="9" t="n">
        <v>38</v>
      </c>
      <c r="I48" s="10" t="n">
        <f aca="false">+H48*C48</f>
        <v>72.96</v>
      </c>
      <c r="J48" s="9" t="n">
        <v>3</v>
      </c>
      <c r="K48" s="10" t="n">
        <f aca="false">+J48*C48</f>
        <v>5.76</v>
      </c>
      <c r="L48" s="9" t="n">
        <v>45</v>
      </c>
      <c r="M48" s="10" t="n">
        <f aca="false">+L48*C48</f>
        <v>86.4</v>
      </c>
      <c r="N48" s="9" t="n">
        <v>3</v>
      </c>
      <c r="O48" s="10" t="n">
        <f aca="false">+N48*C48</f>
        <v>5.76</v>
      </c>
      <c r="P48" s="10" t="n">
        <v>40</v>
      </c>
      <c r="Q48" s="10" t="n">
        <f aca="false">+P48*C48</f>
        <v>76.8</v>
      </c>
      <c r="R48" s="10" t="n">
        <v>38</v>
      </c>
      <c r="S48" s="10" t="n">
        <f aca="false">+R48*C48</f>
        <v>72.96</v>
      </c>
      <c r="T48" s="10" t="n">
        <v>38</v>
      </c>
      <c r="U48" s="10" t="n">
        <f aca="false">+T48*C48</f>
        <v>72.96</v>
      </c>
      <c r="V48" s="10" t="n">
        <v>39</v>
      </c>
      <c r="W48" s="10" t="n">
        <f aca="false">+V48*C48</f>
        <v>74.88</v>
      </c>
      <c r="X48" s="10" t="n">
        <v>42</v>
      </c>
      <c r="Y48" s="10" t="n">
        <f aca="false">+X48*C48</f>
        <v>80.64</v>
      </c>
      <c r="Z48" s="10" t="n">
        <v>42</v>
      </c>
      <c r="AA48" s="10" t="n">
        <f aca="false">+Z48*C48</f>
        <v>80.64</v>
      </c>
      <c r="AB48" s="11" t="n">
        <f aca="false">+D48+F48+H48+J48+L48+N48+P48+R48+T48+V48+X48+Z48</f>
        <v>405</v>
      </c>
      <c r="AC48" s="12" t="n">
        <f aca="false">+E48+G48+I48+K48+M48+O48+Q48+S48+U48+W48+Y48+AA48</f>
        <v>777.6</v>
      </c>
      <c r="AD48" s="13" t="n">
        <f aca="false">+AB48</f>
        <v>405</v>
      </c>
      <c r="AE48" s="14" t="n">
        <v>1051.27</v>
      </c>
    </row>
    <row r="49" customFormat="false" ht="15" hidden="false" customHeight="false" outlineLevel="0" collapsed="false">
      <c r="B49" s="7" t="s">
        <v>49</v>
      </c>
      <c r="C49" s="8" t="n">
        <v>11.64</v>
      </c>
      <c r="D49" s="9" t="n">
        <v>3</v>
      </c>
      <c r="E49" s="10" t="n">
        <f aca="false">+D49*C49</f>
        <v>34.92</v>
      </c>
      <c r="F49" s="9" t="n">
        <v>3</v>
      </c>
      <c r="G49" s="10" t="n">
        <f aca="false">+F49*C49</f>
        <v>34.92</v>
      </c>
      <c r="H49" s="9" t="n">
        <v>2</v>
      </c>
      <c r="I49" s="10" t="n">
        <f aca="false">+H49*C49</f>
        <v>23.28</v>
      </c>
      <c r="J49" s="9" t="n">
        <v>25</v>
      </c>
      <c r="K49" s="10" t="n">
        <f aca="false">+J49*C49</f>
        <v>291</v>
      </c>
      <c r="L49" s="9" t="n">
        <v>25</v>
      </c>
      <c r="M49" s="10" t="n">
        <f aca="false">+L49*C49</f>
        <v>291</v>
      </c>
      <c r="N49" s="9" t="n">
        <v>0</v>
      </c>
      <c r="O49" s="10" t="n">
        <f aca="false">+N49*C49</f>
        <v>0</v>
      </c>
      <c r="P49" s="10" t="n">
        <v>1</v>
      </c>
      <c r="Q49" s="10" t="n">
        <f aca="false">+P49*C49</f>
        <v>11.64</v>
      </c>
      <c r="R49" s="10" t="n">
        <v>1</v>
      </c>
      <c r="S49" s="10" t="n">
        <f aca="false">+R49*C49</f>
        <v>11.64</v>
      </c>
      <c r="T49" s="10" t="n">
        <v>1</v>
      </c>
      <c r="U49" s="10" t="n">
        <f aca="false">+T49*C49</f>
        <v>11.64</v>
      </c>
      <c r="V49" s="10" t="n">
        <v>23</v>
      </c>
      <c r="W49" s="10" t="n">
        <f aca="false">+V49*C49</f>
        <v>267.72</v>
      </c>
      <c r="X49" s="10" t="n">
        <v>2</v>
      </c>
      <c r="Y49" s="10" t="n">
        <f aca="false">+X49*C49</f>
        <v>23.28</v>
      </c>
      <c r="Z49" s="10" t="n">
        <v>22</v>
      </c>
      <c r="AA49" s="10" t="n">
        <f aca="false">+Z49*C49</f>
        <v>256.08</v>
      </c>
      <c r="AB49" s="11" t="n">
        <f aca="false">+D49+F49+H49+J49+L49+N49+P49+R49+T49+V49+X49+Z49</f>
        <v>108</v>
      </c>
      <c r="AC49" s="12" t="n">
        <f aca="false">+E49+G49+I49+K49+M49+O49+Q49+S49+U49+W49+Y49+AA49</f>
        <v>1257.12</v>
      </c>
      <c r="AD49" s="13" t="n">
        <f aca="false">+AB49</f>
        <v>108</v>
      </c>
      <c r="AE49" s="14" t="n">
        <v>1772.99</v>
      </c>
    </row>
    <row r="50" customFormat="false" ht="15" hidden="false" customHeight="false" outlineLevel="0" collapsed="false">
      <c r="B50" s="7" t="s">
        <v>50</v>
      </c>
      <c r="C50" s="8" t="n">
        <v>28.44</v>
      </c>
      <c r="D50" s="9" t="n">
        <v>1</v>
      </c>
      <c r="E50" s="10" t="n">
        <f aca="false">+D50*C50</f>
        <v>28.44</v>
      </c>
      <c r="F50" s="9" t="n">
        <v>7</v>
      </c>
      <c r="G50" s="10" t="n">
        <f aca="false">+F50*C50</f>
        <v>199.08</v>
      </c>
      <c r="H50" s="9" t="n">
        <v>0</v>
      </c>
      <c r="I50" s="10" t="n">
        <f aca="false">+H50*C50</f>
        <v>0</v>
      </c>
      <c r="J50" s="9" t="n">
        <v>7</v>
      </c>
      <c r="K50" s="10" t="n">
        <f aca="false">+J50*C50</f>
        <v>199.08</v>
      </c>
      <c r="L50" s="9" t="n">
        <v>0</v>
      </c>
      <c r="M50" s="10" t="n">
        <f aca="false">+L50*C50</f>
        <v>0</v>
      </c>
      <c r="N50" s="9" t="n">
        <v>7</v>
      </c>
      <c r="O50" s="10" t="n">
        <f aca="false">+N50*C50</f>
        <v>199.08</v>
      </c>
      <c r="P50" s="10" t="n">
        <v>1</v>
      </c>
      <c r="Q50" s="10" t="n">
        <f aca="false">+P50*C50</f>
        <v>28.44</v>
      </c>
      <c r="R50" s="10" t="n">
        <v>6</v>
      </c>
      <c r="S50" s="10" t="n">
        <f aca="false">+R50*C50</f>
        <v>170.64</v>
      </c>
      <c r="T50" s="10" t="n">
        <v>6</v>
      </c>
      <c r="U50" s="10" t="n">
        <f aca="false">+T50*C50</f>
        <v>170.64</v>
      </c>
      <c r="V50" s="10" t="n">
        <v>1</v>
      </c>
      <c r="W50" s="10" t="n">
        <f aca="false">+V50*C50</f>
        <v>28.44</v>
      </c>
      <c r="X50" s="10" t="n">
        <v>7</v>
      </c>
      <c r="Y50" s="10" t="n">
        <f aca="false">+X50*C50</f>
        <v>199.08</v>
      </c>
      <c r="Z50" s="10" t="n">
        <v>7</v>
      </c>
      <c r="AA50" s="10" t="n">
        <f aca="false">+Z50*C50</f>
        <v>199.08</v>
      </c>
      <c r="AB50" s="11" t="n">
        <f aca="false">+D50+F50+H50+J50+L50+N50+P50+R50+T50+V50+X50+Z50</f>
        <v>50</v>
      </c>
      <c r="AC50" s="12" t="n">
        <f aca="false">+E50+G50+I50+K50+M50+O50+Q50+S50+U50+W50+Y50+AA50</f>
        <v>1422</v>
      </c>
      <c r="AD50" s="13" t="n">
        <f aca="false">+AB50</f>
        <v>50</v>
      </c>
      <c r="AE50" s="14" t="n">
        <v>2007.92</v>
      </c>
    </row>
    <row r="51" customFormat="false" ht="15" hidden="false" customHeight="false" outlineLevel="0" collapsed="false">
      <c r="B51" s="7" t="s">
        <v>51</v>
      </c>
      <c r="C51" s="8" t="n">
        <v>80.31</v>
      </c>
      <c r="D51" s="9" t="n">
        <v>2</v>
      </c>
      <c r="E51" s="10" t="n">
        <f aca="false">+D51*C51</f>
        <v>160.62</v>
      </c>
      <c r="F51" s="9" t="n">
        <v>0</v>
      </c>
      <c r="G51" s="10" t="n">
        <f aca="false">+F51*C51</f>
        <v>0</v>
      </c>
      <c r="H51" s="9" t="n">
        <v>0</v>
      </c>
      <c r="I51" s="10" t="n">
        <f aca="false">+H51*C51</f>
        <v>0</v>
      </c>
      <c r="J51" s="9" t="n">
        <v>2</v>
      </c>
      <c r="K51" s="10" t="n">
        <f aca="false">+J51*C51</f>
        <v>160.62</v>
      </c>
      <c r="L51" s="9" t="n">
        <v>3</v>
      </c>
      <c r="M51" s="10" t="n">
        <f aca="false">+L51*C51</f>
        <v>240.93</v>
      </c>
      <c r="N51" s="9" t="n">
        <v>0</v>
      </c>
      <c r="O51" s="10" t="n">
        <f aca="false">+N51*C51</f>
        <v>0</v>
      </c>
      <c r="P51" s="10" t="n">
        <v>2</v>
      </c>
      <c r="Q51" s="10" t="n">
        <f aca="false">+P51*C51</f>
        <v>160.62</v>
      </c>
      <c r="R51" s="10" t="n">
        <v>0</v>
      </c>
      <c r="S51" s="10" t="n">
        <f aca="false">+R51*C51</f>
        <v>0</v>
      </c>
      <c r="T51" s="10" t="n">
        <v>0</v>
      </c>
      <c r="U51" s="10" t="n">
        <f aca="false">+T51*C51</f>
        <v>0</v>
      </c>
      <c r="V51" s="10" t="n">
        <v>2</v>
      </c>
      <c r="W51" s="10" t="n">
        <f aca="false">+V51*C51</f>
        <v>160.62</v>
      </c>
      <c r="X51" s="10" t="n">
        <v>1</v>
      </c>
      <c r="Y51" s="10" t="n">
        <f aca="false">+X51*C51</f>
        <v>80.31</v>
      </c>
      <c r="Z51" s="10" t="n">
        <v>0</v>
      </c>
      <c r="AA51" s="10" t="n">
        <f aca="false">+Z51*C51</f>
        <v>0</v>
      </c>
      <c r="AB51" s="11" t="n">
        <f aca="false">+D51+F51+H51+J51+L51+N51+P51+R51+T51+V51+X51+Z51</f>
        <v>12</v>
      </c>
      <c r="AC51" s="12" t="n">
        <f aca="false">+E51+G51+I51+K51+M51+O51+Q51+S51+U51+W51+Y51+AA51</f>
        <v>963.72</v>
      </c>
      <c r="AD51" s="13" t="n">
        <f aca="false">+AB51</f>
        <v>12</v>
      </c>
      <c r="AE51" s="14" t="n">
        <v>1331.91</v>
      </c>
    </row>
    <row r="52" customFormat="false" ht="15" hidden="false" customHeight="false" outlineLevel="0" collapsed="false">
      <c r="B52" s="7" t="s">
        <v>52</v>
      </c>
      <c r="C52" s="8" t="n">
        <v>48.88</v>
      </c>
      <c r="D52" s="9" t="n">
        <v>0</v>
      </c>
      <c r="E52" s="10" t="n">
        <f aca="false">+D52*C52</f>
        <v>0</v>
      </c>
      <c r="F52" s="9" t="n">
        <v>0</v>
      </c>
      <c r="G52" s="10" t="n">
        <f aca="false">+F52*C52</f>
        <v>0</v>
      </c>
      <c r="H52" s="9" t="n">
        <v>2</v>
      </c>
      <c r="I52" s="10" t="n">
        <f aca="false">+H52*C52</f>
        <v>97.76</v>
      </c>
      <c r="J52" s="9" t="n">
        <v>2</v>
      </c>
      <c r="K52" s="10" t="n">
        <f aca="false">+J52*C52</f>
        <v>97.76</v>
      </c>
      <c r="L52" s="9" t="n">
        <v>0</v>
      </c>
      <c r="M52" s="10" t="n">
        <f aca="false">+L52*C52</f>
        <v>0</v>
      </c>
      <c r="N52" s="9" t="n">
        <v>2</v>
      </c>
      <c r="O52" s="10" t="n">
        <f aca="false">+N52*C52</f>
        <v>97.76</v>
      </c>
      <c r="P52" s="10" t="n">
        <v>0</v>
      </c>
      <c r="Q52" s="10" t="n">
        <f aca="false">+P52*C52</f>
        <v>0</v>
      </c>
      <c r="R52" s="10" t="n">
        <v>0</v>
      </c>
      <c r="S52" s="10" t="n">
        <f aca="false">+R52*C52</f>
        <v>0</v>
      </c>
      <c r="T52" s="10" t="n">
        <v>0</v>
      </c>
      <c r="U52" s="10" t="n">
        <f aca="false">+T52*C52</f>
        <v>0</v>
      </c>
      <c r="V52" s="10" t="n">
        <v>2</v>
      </c>
      <c r="W52" s="10" t="n">
        <f aca="false">+V52*C52</f>
        <v>97.76</v>
      </c>
      <c r="X52" s="10" t="n">
        <v>2</v>
      </c>
      <c r="Y52" s="10" t="n">
        <f aca="false">+X52*C52</f>
        <v>97.76</v>
      </c>
      <c r="Z52" s="10" t="n">
        <v>2</v>
      </c>
      <c r="AA52" s="10" t="n">
        <f aca="false">+Z52*C52</f>
        <v>97.76</v>
      </c>
      <c r="AB52" s="11" t="n">
        <f aca="false">+D52+F52+H52+J52+L52+N52+P52+R52+T52+V52+X52+Z52</f>
        <v>12</v>
      </c>
      <c r="AC52" s="12" t="n">
        <f aca="false">+E52+G52+I52+K52+M52+O52+Q52+S52+U52+W52+Y52+AA52</f>
        <v>586.56</v>
      </c>
      <c r="AD52" s="13" t="n">
        <f aca="false">+AB52</f>
        <v>12</v>
      </c>
      <c r="AE52" s="14" t="n">
        <v>817.28</v>
      </c>
    </row>
    <row r="53" customFormat="false" ht="15" hidden="false" customHeight="false" outlineLevel="0" collapsed="false">
      <c r="B53" s="7" t="s">
        <v>53</v>
      </c>
      <c r="C53" s="8" t="n">
        <v>84.24</v>
      </c>
      <c r="D53" s="9" t="n">
        <v>1</v>
      </c>
      <c r="E53" s="10" t="n">
        <f aca="false">+D53*C53</f>
        <v>84.24</v>
      </c>
      <c r="F53" s="9" t="n">
        <v>2</v>
      </c>
      <c r="G53" s="10" t="n">
        <f aca="false">+F53*C53</f>
        <v>168.48</v>
      </c>
      <c r="H53" s="9" t="n">
        <v>0</v>
      </c>
      <c r="I53" s="10" t="n">
        <f aca="false">+H53*C53</f>
        <v>0</v>
      </c>
      <c r="J53" s="9" t="n">
        <v>0</v>
      </c>
      <c r="K53" s="10" t="n">
        <f aca="false">+J53*C53</f>
        <v>0</v>
      </c>
      <c r="L53" s="9" t="n">
        <v>2</v>
      </c>
      <c r="M53" s="10" t="n">
        <f aca="false">+L53*C53</f>
        <v>168.48</v>
      </c>
      <c r="N53" s="9" t="n">
        <v>2</v>
      </c>
      <c r="O53" s="10" t="n">
        <f aca="false">+N53*C53</f>
        <v>168.48</v>
      </c>
      <c r="P53" s="10" t="n">
        <v>2</v>
      </c>
      <c r="Q53" s="10" t="n">
        <f aca="false">+P53*C53</f>
        <v>168.48</v>
      </c>
      <c r="R53" s="10" t="n">
        <v>1</v>
      </c>
      <c r="S53" s="10" t="n">
        <f aca="false">+R53*C53</f>
        <v>84.24</v>
      </c>
      <c r="T53" s="10" t="n">
        <v>0</v>
      </c>
      <c r="U53" s="10" t="n">
        <f aca="false">+T53*C53</f>
        <v>0</v>
      </c>
      <c r="V53" s="10" t="n">
        <v>0</v>
      </c>
      <c r="W53" s="10" t="n">
        <f aca="false">+V53*C53</f>
        <v>0</v>
      </c>
      <c r="X53" s="10" t="n">
        <v>0</v>
      </c>
      <c r="Y53" s="10" t="n">
        <f aca="false">+X53*C53</f>
        <v>0</v>
      </c>
      <c r="Z53" s="10" t="n">
        <v>2</v>
      </c>
      <c r="AA53" s="10" t="n">
        <f aca="false">+Z53*C53</f>
        <v>168.48</v>
      </c>
      <c r="AB53" s="11" t="n">
        <f aca="false">+D53+F53+H53+J53+L53+N53+P53+R53+T53+V53+X53+Z53</f>
        <v>12</v>
      </c>
      <c r="AC53" s="12" t="n">
        <f aca="false">+E53+G53+I53+K53+M53+O53+Q53+S53+U53+W53+Y53+AA53</f>
        <v>1010.88</v>
      </c>
      <c r="AD53" s="13" t="n">
        <f aca="false">+AB53</f>
        <v>12</v>
      </c>
      <c r="AE53" s="14" t="n">
        <v>1411.65</v>
      </c>
    </row>
    <row r="54" customFormat="false" ht="15" hidden="false" customHeight="false" outlineLevel="0" collapsed="false">
      <c r="B54" s="7" t="s">
        <v>54</v>
      </c>
      <c r="C54" s="8" t="n">
        <v>5.93</v>
      </c>
      <c r="D54" s="9" t="n">
        <v>7</v>
      </c>
      <c r="E54" s="10" t="n">
        <f aca="false">+D54*C54</f>
        <v>41.51</v>
      </c>
      <c r="F54" s="9" t="n">
        <v>0</v>
      </c>
      <c r="G54" s="10" t="n">
        <f aca="false">+F54*C54</f>
        <v>0</v>
      </c>
      <c r="H54" s="9" t="n">
        <v>1</v>
      </c>
      <c r="I54" s="10" t="n">
        <f aca="false">+H54*C54</f>
        <v>5.93</v>
      </c>
      <c r="J54" s="9" t="n">
        <v>9</v>
      </c>
      <c r="K54" s="10" t="n">
        <f aca="false">+J54*C54</f>
        <v>53.37</v>
      </c>
      <c r="L54" s="9" t="n">
        <v>10</v>
      </c>
      <c r="M54" s="10" t="n">
        <f aca="false">+L54*C54</f>
        <v>59.3</v>
      </c>
      <c r="N54" s="9" t="n">
        <v>0</v>
      </c>
      <c r="O54" s="10" t="n">
        <f aca="false">+N54*C54</f>
        <v>0</v>
      </c>
      <c r="P54" s="10" t="n">
        <v>9</v>
      </c>
      <c r="Q54" s="10" t="n">
        <f aca="false">+P54*C54</f>
        <v>53.37</v>
      </c>
      <c r="R54" s="10" t="n">
        <v>8</v>
      </c>
      <c r="S54" s="10" t="n">
        <f aca="false">+R54*C54</f>
        <v>47.44</v>
      </c>
      <c r="T54" s="10" t="n">
        <v>1</v>
      </c>
      <c r="U54" s="10" t="n">
        <f aca="false">+T54*C54</f>
        <v>5.93</v>
      </c>
      <c r="V54" s="10" t="n">
        <v>8</v>
      </c>
      <c r="W54" s="10" t="n">
        <f aca="false">+V54*C54</f>
        <v>47.44</v>
      </c>
      <c r="X54" s="10" t="n">
        <v>9</v>
      </c>
      <c r="Y54" s="10" t="n">
        <f aca="false">+X54*C54</f>
        <v>53.37</v>
      </c>
      <c r="Z54" s="10" t="n">
        <v>1</v>
      </c>
      <c r="AA54" s="10" t="n">
        <f aca="false">+Z54*C54</f>
        <v>5.93</v>
      </c>
      <c r="AB54" s="11" t="n">
        <f aca="false">+D54+F54+H54+J54+L54+N54+P54+R54+T54+V54+X54+Z54</f>
        <v>63</v>
      </c>
      <c r="AC54" s="12" t="n">
        <f aca="false">+E54+G54+I54+K54+M54+O54+Q54+S54+U54+W54+Y54+AA54</f>
        <v>373.59</v>
      </c>
      <c r="AD54" s="13" t="n">
        <f aca="false">+AB54</f>
        <v>63</v>
      </c>
      <c r="AE54" s="14" t="n">
        <v>517.6</v>
      </c>
    </row>
    <row r="55" customFormat="false" ht="15" hidden="false" customHeight="false" outlineLevel="0" collapsed="false">
      <c r="B55" s="7" t="s">
        <v>55</v>
      </c>
      <c r="C55" s="8" t="n">
        <v>70.69</v>
      </c>
      <c r="D55" s="9" t="n">
        <v>0</v>
      </c>
      <c r="E55" s="10" t="n">
        <f aca="false">+D55*C55</f>
        <v>0</v>
      </c>
      <c r="F55" s="9" t="n">
        <v>0</v>
      </c>
      <c r="G55" s="10" t="n">
        <f aca="false">+F55*C55</f>
        <v>0</v>
      </c>
      <c r="H55" s="9" t="n">
        <v>0</v>
      </c>
      <c r="I55" s="10" t="n">
        <f aca="false">+H55*C55</f>
        <v>0</v>
      </c>
      <c r="J55" s="9" t="n">
        <v>2</v>
      </c>
      <c r="K55" s="10" t="n">
        <f aca="false">+J55*C55</f>
        <v>141.38</v>
      </c>
      <c r="L55" s="9" t="n">
        <v>2</v>
      </c>
      <c r="M55" s="10" t="n">
        <f aca="false">+L55*C55</f>
        <v>141.38</v>
      </c>
      <c r="N55" s="9" t="n">
        <v>2</v>
      </c>
      <c r="O55" s="10" t="n">
        <f aca="false">+N55*C55</f>
        <v>141.38</v>
      </c>
      <c r="P55" s="10" t="n">
        <v>1</v>
      </c>
      <c r="Q55" s="10" t="n">
        <f aca="false">+P55*C55</f>
        <v>70.69</v>
      </c>
      <c r="R55" s="10" t="n">
        <v>2</v>
      </c>
      <c r="S55" s="10" t="n">
        <f aca="false">+R55*C55</f>
        <v>141.38</v>
      </c>
      <c r="T55" s="10" t="n">
        <v>0</v>
      </c>
      <c r="U55" s="10" t="n">
        <f aca="false">+T55*C55</f>
        <v>0</v>
      </c>
      <c r="V55" s="10" t="n">
        <v>2</v>
      </c>
      <c r="W55" s="10" t="n">
        <f aca="false">+V55*C55</f>
        <v>141.38</v>
      </c>
      <c r="X55" s="10" t="n">
        <v>0</v>
      </c>
      <c r="Y55" s="10" t="n">
        <f aca="false">+X55*C55</f>
        <v>0</v>
      </c>
      <c r="Z55" s="10" t="n">
        <v>2</v>
      </c>
      <c r="AA55" s="10" t="n">
        <f aca="false">+Z55*C55</f>
        <v>141.38</v>
      </c>
      <c r="AB55" s="11" t="n">
        <f aca="false">+D55+F55+H55+J55+L55+N55+P55+R55+T55+V55+X55+Z55</f>
        <v>13</v>
      </c>
      <c r="AC55" s="12" t="n">
        <f aca="false">+E55+G55+I55+K55+M55+O55+Q55+S55+U55+W55+Y55+AA55</f>
        <v>918.97</v>
      </c>
      <c r="AD55" s="13" t="n">
        <f aca="false">+AB55</f>
        <v>13</v>
      </c>
      <c r="AE55" s="14" t="n">
        <v>1270.09</v>
      </c>
    </row>
    <row r="56" customFormat="false" ht="15" hidden="false" customHeight="false" outlineLevel="0" collapsed="false">
      <c r="B56" s="7" t="s">
        <v>56</v>
      </c>
      <c r="C56" s="8" t="n">
        <v>41.91</v>
      </c>
      <c r="D56" s="9" t="n">
        <v>0</v>
      </c>
      <c r="E56" s="10" t="n">
        <f aca="false">+D56*C56</f>
        <v>0</v>
      </c>
      <c r="F56" s="9" t="n">
        <v>2</v>
      </c>
      <c r="G56" s="10" t="n">
        <f aca="false">+F56*C56</f>
        <v>83.82</v>
      </c>
      <c r="H56" s="9" t="n">
        <v>0</v>
      </c>
      <c r="I56" s="10" t="n">
        <f aca="false">+H56*C56</f>
        <v>0</v>
      </c>
      <c r="J56" s="9" t="n">
        <v>0</v>
      </c>
      <c r="K56" s="10" t="n">
        <f aca="false">+J56*C56</f>
        <v>0</v>
      </c>
      <c r="L56" s="9" t="n">
        <v>0</v>
      </c>
      <c r="M56" s="10" t="n">
        <f aca="false">+L56*C56</f>
        <v>0</v>
      </c>
      <c r="N56" s="9" t="n">
        <v>2</v>
      </c>
      <c r="O56" s="10" t="n">
        <f aca="false">+N56*C56</f>
        <v>83.82</v>
      </c>
      <c r="P56" s="10" t="n">
        <v>2</v>
      </c>
      <c r="Q56" s="10" t="n">
        <f aca="false">+P56*C56</f>
        <v>83.82</v>
      </c>
      <c r="R56" s="10" t="n">
        <v>0</v>
      </c>
      <c r="S56" s="10" t="n">
        <f aca="false">+R56*C56</f>
        <v>0</v>
      </c>
      <c r="T56" s="10" t="n">
        <v>0</v>
      </c>
      <c r="U56" s="10" t="n">
        <f aca="false">+T56*C56</f>
        <v>0</v>
      </c>
      <c r="V56" s="10" t="n">
        <v>2</v>
      </c>
      <c r="W56" s="10" t="n">
        <f aca="false">+V56*C56</f>
        <v>83.82</v>
      </c>
      <c r="X56" s="10" t="n">
        <v>0</v>
      </c>
      <c r="Y56" s="10" t="n">
        <f aca="false">+X56*C56</f>
        <v>0</v>
      </c>
      <c r="Z56" s="10" t="n">
        <v>0</v>
      </c>
      <c r="AA56" s="10" t="n">
        <f aca="false">+Z56*C56</f>
        <v>0</v>
      </c>
      <c r="AB56" s="11" t="n">
        <f aca="false">+D56+F56+H56+J56+L56+N56+P56+R56+T56+V56+X56+Z56</f>
        <v>8</v>
      </c>
      <c r="AC56" s="12" t="n">
        <f aca="false">+E56+G56+I56+K56+M56+O56+Q56+S56+U56+W56+Y56+AA56</f>
        <v>335.28</v>
      </c>
      <c r="AD56" s="13" t="n">
        <f aca="false">+AB56</f>
        <v>8</v>
      </c>
      <c r="AE56" s="14" t="n">
        <v>453.05</v>
      </c>
    </row>
    <row r="57" customFormat="false" ht="15" hidden="false" customHeight="false" outlineLevel="0" collapsed="false">
      <c r="B57" s="7" t="s">
        <v>57</v>
      </c>
      <c r="C57" s="8" t="n">
        <v>79.06</v>
      </c>
      <c r="D57" s="9" t="n">
        <v>0</v>
      </c>
      <c r="E57" s="10" t="n">
        <f aca="false">+D57*C57</f>
        <v>0</v>
      </c>
      <c r="F57" s="9" t="n">
        <v>0</v>
      </c>
      <c r="G57" s="10" t="n">
        <f aca="false">+F57*C57</f>
        <v>0</v>
      </c>
      <c r="H57" s="9" t="n">
        <v>2</v>
      </c>
      <c r="I57" s="10" t="n">
        <f aca="false">+H57*C57</f>
        <v>158.12</v>
      </c>
      <c r="J57" s="9" t="n">
        <v>2</v>
      </c>
      <c r="K57" s="10" t="n">
        <f aca="false">+J57*C57</f>
        <v>158.12</v>
      </c>
      <c r="L57" s="9" t="n">
        <v>2</v>
      </c>
      <c r="M57" s="10" t="n">
        <f aca="false">+L57*C57</f>
        <v>158.12</v>
      </c>
      <c r="N57" s="9" t="n">
        <v>2</v>
      </c>
      <c r="O57" s="10" t="n">
        <f aca="false">+N57*C57</f>
        <v>158.12</v>
      </c>
      <c r="P57" s="10" t="n">
        <v>2</v>
      </c>
      <c r="Q57" s="10" t="n">
        <f aca="false">+P57*C57</f>
        <v>158.12</v>
      </c>
      <c r="R57" s="10" t="n">
        <v>0</v>
      </c>
      <c r="S57" s="10" t="n">
        <f aca="false">+R57*C57</f>
        <v>0</v>
      </c>
      <c r="T57" s="10" t="n">
        <v>0</v>
      </c>
      <c r="U57" s="10" t="n">
        <f aca="false">+T57*C57</f>
        <v>0</v>
      </c>
      <c r="V57" s="10" t="n">
        <v>0</v>
      </c>
      <c r="W57" s="10" t="n">
        <f aca="false">+V57*C57</f>
        <v>0</v>
      </c>
      <c r="X57" s="10" t="n">
        <v>0</v>
      </c>
      <c r="Y57" s="10" t="n">
        <f aca="false">+X57*C57</f>
        <v>0</v>
      </c>
      <c r="Z57" s="10" t="n">
        <v>2</v>
      </c>
      <c r="AA57" s="10" t="n">
        <f aca="false">+Z57*C57</f>
        <v>158.12</v>
      </c>
      <c r="AB57" s="11" t="n">
        <f aca="false">+D57+F57+H57+J57+L57+N57+P57+R57+T57+V57+X57+Z57</f>
        <v>12</v>
      </c>
      <c r="AC57" s="12" t="n">
        <f aca="false">+E57+G57+I57+K57+M57+O57+Q57+S57+U57+W57+Y57+AA57</f>
        <v>948.72</v>
      </c>
      <c r="AD57" s="13" t="n">
        <f aca="false">+AB57</f>
        <v>12</v>
      </c>
      <c r="AE57" s="14" t="n">
        <v>1335.01</v>
      </c>
    </row>
    <row r="58" customFormat="false" ht="15" hidden="false" customHeight="false" outlineLevel="0" collapsed="false">
      <c r="B58" s="7" t="s">
        <v>58</v>
      </c>
      <c r="C58" s="8" t="n">
        <v>42.89</v>
      </c>
      <c r="D58" s="9" t="n">
        <v>0</v>
      </c>
      <c r="E58" s="10" t="n">
        <f aca="false">+D58*C58</f>
        <v>0</v>
      </c>
      <c r="F58" s="9" t="n">
        <v>0</v>
      </c>
      <c r="G58" s="10" t="n">
        <f aca="false">+F58*C58</f>
        <v>0</v>
      </c>
      <c r="H58" s="9" t="n">
        <v>2</v>
      </c>
      <c r="I58" s="10" t="n">
        <f aca="false">+H58*C58</f>
        <v>85.78</v>
      </c>
      <c r="J58" s="9" t="n">
        <v>2</v>
      </c>
      <c r="K58" s="10" t="n">
        <f aca="false">+J58*C58</f>
        <v>85.78</v>
      </c>
      <c r="L58" s="9" t="n">
        <v>0</v>
      </c>
      <c r="M58" s="10" t="n">
        <f aca="false">+L58*C58</f>
        <v>0</v>
      </c>
      <c r="N58" s="9" t="n">
        <v>2</v>
      </c>
      <c r="O58" s="10" t="n">
        <f aca="false">+N58*C58</f>
        <v>85.78</v>
      </c>
      <c r="P58" s="10" t="n">
        <v>2</v>
      </c>
      <c r="Q58" s="10" t="n">
        <f aca="false">+P58*C58</f>
        <v>85.78</v>
      </c>
      <c r="R58" s="10" t="n">
        <v>2</v>
      </c>
      <c r="S58" s="10" t="n">
        <f aca="false">+R58*C58</f>
        <v>85.78</v>
      </c>
      <c r="T58" s="10" t="n">
        <v>0</v>
      </c>
      <c r="U58" s="10" t="n">
        <f aca="false">+T58*C58</f>
        <v>0</v>
      </c>
      <c r="V58" s="10" t="n">
        <v>0</v>
      </c>
      <c r="W58" s="10" t="n">
        <f aca="false">+V58*C58</f>
        <v>0</v>
      </c>
      <c r="X58" s="10" t="n">
        <v>0</v>
      </c>
      <c r="Y58" s="10" t="n">
        <f aca="false">+X58*C58</f>
        <v>0</v>
      </c>
      <c r="Z58" s="10" t="n">
        <v>2</v>
      </c>
      <c r="AA58" s="10" t="n">
        <f aca="false">+Z58*C58</f>
        <v>85.78</v>
      </c>
      <c r="AB58" s="11" t="n">
        <f aca="false">+D58+F58+H58+J58+L58+N58+P58+R58+T58+V58+X58+Z58</f>
        <v>12</v>
      </c>
      <c r="AC58" s="12" t="n">
        <f aca="false">+E58+G58+I58+K58+M58+O58+Q58+S58+U58+W58+Y58+AA58</f>
        <v>514.68</v>
      </c>
      <c r="AD58" s="13" t="n">
        <f aca="false">+AB58</f>
        <v>12</v>
      </c>
      <c r="AE58" s="14" t="n">
        <v>701.77</v>
      </c>
    </row>
    <row r="59" customFormat="false" ht="15" hidden="false" customHeight="false" outlineLevel="0" collapsed="false">
      <c r="B59" s="7" t="s">
        <v>59</v>
      </c>
      <c r="C59" s="8" t="n">
        <v>80.25</v>
      </c>
      <c r="D59" s="9" t="n">
        <v>0</v>
      </c>
      <c r="E59" s="10" t="n">
        <f aca="false">+D59*C59</f>
        <v>0</v>
      </c>
      <c r="F59" s="9" t="n">
        <v>0</v>
      </c>
      <c r="G59" s="10" t="n">
        <f aca="false">+F59*C59</f>
        <v>0</v>
      </c>
      <c r="H59" s="9" t="n">
        <v>2</v>
      </c>
      <c r="I59" s="10" t="n">
        <f aca="false">+H59*C59</f>
        <v>160.5</v>
      </c>
      <c r="J59" s="9" t="n">
        <v>2</v>
      </c>
      <c r="K59" s="10" t="n">
        <f aca="false">+J59*C59</f>
        <v>160.5</v>
      </c>
      <c r="L59" s="9" t="n">
        <v>1</v>
      </c>
      <c r="M59" s="10" t="n">
        <f aca="false">+L59*C59</f>
        <v>80.25</v>
      </c>
      <c r="N59" s="9" t="n">
        <v>0</v>
      </c>
      <c r="O59" s="10" t="n">
        <f aca="false">+N59*C59</f>
        <v>0</v>
      </c>
      <c r="P59" s="10" t="n">
        <v>0</v>
      </c>
      <c r="Q59" s="10" t="n">
        <f aca="false">+P59*C59</f>
        <v>0</v>
      </c>
      <c r="R59" s="10" t="n">
        <v>2</v>
      </c>
      <c r="S59" s="10" t="n">
        <f aca="false">+R59*C59</f>
        <v>160.5</v>
      </c>
      <c r="T59" s="10" t="n">
        <v>0</v>
      </c>
      <c r="U59" s="10" t="n">
        <f aca="false">+T59*C59</f>
        <v>0</v>
      </c>
      <c r="V59" s="10" t="n">
        <v>0</v>
      </c>
      <c r="W59" s="10" t="n">
        <f aca="false">+V59*C59</f>
        <v>0</v>
      </c>
      <c r="X59" s="10" t="n">
        <v>0</v>
      </c>
      <c r="Y59" s="10" t="n">
        <f aca="false">+X59*C59</f>
        <v>0</v>
      </c>
      <c r="Z59" s="10" t="n">
        <v>0</v>
      </c>
      <c r="AA59" s="10" t="n">
        <f aca="false">+Z59*C59</f>
        <v>0</v>
      </c>
      <c r="AB59" s="11" t="n">
        <f aca="false">+D59+F59+H59+J59+L59+N59+P59+R59+T59+V59+X59+Z59</f>
        <v>7</v>
      </c>
      <c r="AC59" s="12" t="n">
        <f aca="false">+E59+G59+I59+K59+M59+O59+Q59+S59+U59+W59+Y59+AA59</f>
        <v>561.75</v>
      </c>
      <c r="AD59" s="13" t="n">
        <f aca="false">+AB59</f>
        <v>7</v>
      </c>
      <c r="AE59" s="14" t="n">
        <v>778.65</v>
      </c>
    </row>
    <row r="60" customFormat="false" ht="15" hidden="false" customHeight="false" outlineLevel="0" collapsed="false">
      <c r="B60" s="7" t="s">
        <v>60</v>
      </c>
      <c r="C60" s="8" t="n">
        <v>76.65</v>
      </c>
      <c r="D60" s="9" t="n">
        <v>2</v>
      </c>
      <c r="E60" s="10" t="n">
        <f aca="false">+D60*C60</f>
        <v>153.3</v>
      </c>
      <c r="F60" s="9" t="n">
        <v>0</v>
      </c>
      <c r="G60" s="10" t="n">
        <f aca="false">+F60*C60</f>
        <v>0</v>
      </c>
      <c r="H60" s="9" t="n">
        <v>0</v>
      </c>
      <c r="I60" s="10" t="n">
        <f aca="false">+H60*C60</f>
        <v>0</v>
      </c>
      <c r="J60" s="9" t="n">
        <v>0</v>
      </c>
      <c r="K60" s="10" t="n">
        <f aca="false">+J60*C60</f>
        <v>0</v>
      </c>
      <c r="L60" s="9" t="n">
        <v>0</v>
      </c>
      <c r="M60" s="10" t="n">
        <f aca="false">+L60*C60</f>
        <v>0</v>
      </c>
      <c r="N60" s="9" t="n">
        <v>0</v>
      </c>
      <c r="O60" s="10" t="n">
        <f aca="false">+N60*C60</f>
        <v>0</v>
      </c>
      <c r="P60" s="10" t="n">
        <v>0</v>
      </c>
      <c r="Q60" s="10" t="n">
        <f aca="false">+P60*C60</f>
        <v>0</v>
      </c>
      <c r="R60" s="10" t="n">
        <v>0</v>
      </c>
      <c r="S60" s="10" t="n">
        <f aca="false">+R60*C60</f>
        <v>0</v>
      </c>
      <c r="T60" s="10" t="n">
        <v>1</v>
      </c>
      <c r="U60" s="10" t="n">
        <f aca="false">+T60*C60</f>
        <v>76.65</v>
      </c>
      <c r="V60" s="10" t="n">
        <v>0</v>
      </c>
      <c r="W60" s="10" t="n">
        <f aca="false">+V60*C60</f>
        <v>0</v>
      </c>
      <c r="X60" s="10" t="n">
        <v>0</v>
      </c>
      <c r="Y60" s="10" t="n">
        <f aca="false">+X60*C60</f>
        <v>0</v>
      </c>
      <c r="Z60" s="10" t="n">
        <v>0</v>
      </c>
      <c r="AA60" s="10" t="n">
        <f aca="false">+Z60*C60</f>
        <v>0</v>
      </c>
      <c r="AB60" s="11" t="n">
        <f aca="false">+D60+F60+H60+J60+L60+N60+P60+R60+T60+V60+X60+Z60</f>
        <v>3</v>
      </c>
      <c r="AC60" s="12" t="n">
        <f aca="false">+E60+G60+I60+K60+M60+O60+Q60+S60+U60+W60+Y60+AA60</f>
        <v>229.95</v>
      </c>
      <c r="AD60" s="13" t="n">
        <f aca="false">+AB60</f>
        <v>3</v>
      </c>
      <c r="AE60" s="14" t="n">
        <v>318.01</v>
      </c>
    </row>
    <row r="61" customFormat="false" ht="15" hidden="false" customHeight="false" outlineLevel="0" collapsed="false">
      <c r="B61" s="7" t="s">
        <v>61</v>
      </c>
      <c r="C61" s="8" t="n">
        <v>7.09</v>
      </c>
      <c r="D61" s="9" t="n">
        <v>8</v>
      </c>
      <c r="E61" s="10" t="n">
        <f aca="false">+D61*C61</f>
        <v>56.72</v>
      </c>
      <c r="F61" s="9" t="n">
        <v>9</v>
      </c>
      <c r="G61" s="10" t="n">
        <f aca="false">+F61*C61</f>
        <v>63.81</v>
      </c>
      <c r="H61" s="9" t="n">
        <v>0</v>
      </c>
      <c r="I61" s="10" t="n">
        <f aca="false">+H61*C61</f>
        <v>0</v>
      </c>
      <c r="J61" s="9" t="n">
        <v>10</v>
      </c>
      <c r="K61" s="10" t="n">
        <f aca="false">+J61*C61</f>
        <v>70.9</v>
      </c>
      <c r="L61" s="9" t="n">
        <v>1</v>
      </c>
      <c r="M61" s="10" t="n">
        <f aca="false">+L61*C61</f>
        <v>7.09</v>
      </c>
      <c r="N61" s="9" t="n">
        <v>10</v>
      </c>
      <c r="O61" s="10" t="n">
        <f aca="false">+N61*C61</f>
        <v>70.9</v>
      </c>
      <c r="P61" s="10" t="n">
        <v>1</v>
      </c>
      <c r="Q61" s="10" t="n">
        <f aca="false">+P61*C61</f>
        <v>7.09</v>
      </c>
      <c r="R61" s="10" t="n">
        <v>8</v>
      </c>
      <c r="S61" s="10" t="n">
        <f aca="false">+R61*C61</f>
        <v>56.72</v>
      </c>
      <c r="T61" s="10" t="n">
        <v>0</v>
      </c>
      <c r="U61" s="10" t="n">
        <f aca="false">+T61*C61</f>
        <v>0</v>
      </c>
      <c r="V61" s="10" t="n">
        <v>10</v>
      </c>
      <c r="W61" s="10" t="n">
        <f aca="false">+V61*C61</f>
        <v>70.9</v>
      </c>
      <c r="X61" s="10" t="n">
        <v>10</v>
      </c>
      <c r="Y61" s="10" t="n">
        <f aca="false">+X61*C61</f>
        <v>70.9</v>
      </c>
      <c r="Z61" s="10" t="n">
        <v>10</v>
      </c>
      <c r="AA61" s="10" t="n">
        <f aca="false">+Z61*C61</f>
        <v>70.9</v>
      </c>
      <c r="AB61" s="11" t="n">
        <f aca="false">+D61+F61+H61+J61+L61+N61+P61+R61+T61+V61+X61+Z61</f>
        <v>77</v>
      </c>
      <c r="AC61" s="12" t="n">
        <f aca="false">+E61+G61+I61+K61+M61+O61+Q61+S61+U61+W61+Y61+AA61</f>
        <v>545.93</v>
      </c>
      <c r="AD61" s="13" t="n">
        <f aca="false">+AB61</f>
        <v>77</v>
      </c>
      <c r="AE61" s="14" t="n">
        <v>741.99</v>
      </c>
    </row>
    <row r="62" customFormat="false" ht="15" hidden="false" customHeight="false" outlineLevel="0" collapsed="false">
      <c r="B62" s="7" t="s">
        <v>62</v>
      </c>
      <c r="C62" s="8" t="n">
        <v>6.83</v>
      </c>
      <c r="D62" s="9" t="n">
        <v>9</v>
      </c>
      <c r="E62" s="10" t="n">
        <f aca="false">+D62*C62</f>
        <v>61.47</v>
      </c>
      <c r="F62" s="9" t="n">
        <v>9</v>
      </c>
      <c r="G62" s="10" t="n">
        <f aca="false">+F62*C62</f>
        <v>61.47</v>
      </c>
      <c r="H62" s="9" t="n">
        <v>10</v>
      </c>
      <c r="I62" s="10" t="n">
        <f aca="false">+H62*C62</f>
        <v>68.3</v>
      </c>
      <c r="J62" s="9" t="n">
        <v>1</v>
      </c>
      <c r="K62" s="10" t="n">
        <f aca="false">+J62*C62</f>
        <v>6.83</v>
      </c>
      <c r="L62" s="9" t="n">
        <v>0</v>
      </c>
      <c r="M62" s="10" t="n">
        <f aca="false">+L62*C62</f>
        <v>0</v>
      </c>
      <c r="N62" s="9" t="n">
        <v>10</v>
      </c>
      <c r="O62" s="10" t="n">
        <f aca="false">+N62*C62</f>
        <v>68.3</v>
      </c>
      <c r="P62" s="10" t="n">
        <v>0</v>
      </c>
      <c r="Q62" s="10" t="n">
        <f aca="false">+P62*C62</f>
        <v>0</v>
      </c>
      <c r="R62" s="10" t="n">
        <v>1</v>
      </c>
      <c r="S62" s="10" t="n">
        <f aca="false">+R62*C62</f>
        <v>6.83</v>
      </c>
      <c r="T62" s="10" t="n">
        <v>8</v>
      </c>
      <c r="U62" s="10" t="n">
        <f aca="false">+T62*C62</f>
        <v>54.64</v>
      </c>
      <c r="V62" s="10" t="n">
        <v>9</v>
      </c>
      <c r="W62" s="10" t="n">
        <f aca="false">+V62*C62</f>
        <v>61.47</v>
      </c>
      <c r="X62" s="10" t="n">
        <v>10</v>
      </c>
      <c r="Y62" s="10" t="n">
        <f aca="false">+X62*C62</f>
        <v>68.3</v>
      </c>
      <c r="Z62" s="10" t="n">
        <v>0</v>
      </c>
      <c r="AA62" s="10" t="n">
        <f aca="false">+Z62*C62</f>
        <v>0</v>
      </c>
      <c r="AB62" s="11" t="n">
        <f aca="false">+D62+F62+H62+J62+L62+N62+P62+R62+T62+V62+X62+Z62</f>
        <v>67</v>
      </c>
      <c r="AC62" s="12" t="n">
        <f aca="false">+E62+G62+I62+K62+M62+O62+Q62+S62+U62+W62+Y62+AA62</f>
        <v>457.61</v>
      </c>
      <c r="AD62" s="13" t="n">
        <f aca="false">+AB62</f>
        <v>67</v>
      </c>
      <c r="AE62" s="14" t="n">
        <v>625.21</v>
      </c>
    </row>
    <row r="63" customFormat="false" ht="15" hidden="false" customHeight="false" outlineLevel="0" collapsed="false">
      <c r="B63" s="7" t="s">
        <v>63</v>
      </c>
      <c r="C63" s="8" t="n">
        <v>11.8</v>
      </c>
      <c r="D63" s="9" t="n">
        <v>0</v>
      </c>
      <c r="E63" s="10" t="n">
        <f aca="false">+D63*C63</f>
        <v>0</v>
      </c>
      <c r="F63" s="9" t="n">
        <v>1</v>
      </c>
      <c r="G63" s="10" t="n">
        <f aca="false">+F63*C63</f>
        <v>11.8</v>
      </c>
      <c r="H63" s="9" t="n">
        <v>1</v>
      </c>
      <c r="I63" s="10" t="n">
        <f aca="false">+H63*C63</f>
        <v>11.8</v>
      </c>
      <c r="J63" s="9" t="n">
        <v>1</v>
      </c>
      <c r="K63" s="10" t="n">
        <f aca="false">+J63*C63</f>
        <v>11.8</v>
      </c>
      <c r="L63" s="9" t="n">
        <v>0</v>
      </c>
      <c r="M63" s="10" t="n">
        <f aca="false">+L63*C63</f>
        <v>0</v>
      </c>
      <c r="N63" s="9" t="n">
        <v>8</v>
      </c>
      <c r="O63" s="10" t="n">
        <f aca="false">+N63*C63</f>
        <v>94.4</v>
      </c>
      <c r="P63" s="10" t="n">
        <v>9</v>
      </c>
      <c r="Q63" s="10" t="n">
        <f aca="false">+P63*C63</f>
        <v>106.2</v>
      </c>
      <c r="R63" s="10" t="n">
        <v>1</v>
      </c>
      <c r="S63" s="10" t="n">
        <f aca="false">+R63*C63</f>
        <v>11.8</v>
      </c>
      <c r="T63" s="10" t="n">
        <v>1</v>
      </c>
      <c r="U63" s="10" t="n">
        <f aca="false">+T63*C63</f>
        <v>11.8</v>
      </c>
      <c r="V63" s="10" t="n">
        <v>1</v>
      </c>
      <c r="W63" s="10" t="n">
        <f aca="false">+V63*C63</f>
        <v>11.8</v>
      </c>
      <c r="X63" s="10" t="n">
        <v>0</v>
      </c>
      <c r="Y63" s="10" t="n">
        <f aca="false">+X63*C63</f>
        <v>0</v>
      </c>
      <c r="Z63" s="10" t="n">
        <v>1</v>
      </c>
      <c r="AA63" s="10" t="n">
        <f aca="false">+Z63*C63</f>
        <v>11.8</v>
      </c>
      <c r="AB63" s="11" t="n">
        <f aca="false">+D63+F63+H63+J63+L63+N63+P63+R63+T63+V63+X63+Z63</f>
        <v>24</v>
      </c>
      <c r="AC63" s="12" t="n">
        <f aca="false">+E63+G63+I63+K63+M63+O63+Q63+S63+U63+W63+Y63+AA63</f>
        <v>283.2</v>
      </c>
      <c r="AD63" s="13" t="n">
        <f aca="false">+AB63</f>
        <v>24</v>
      </c>
      <c r="AE63" s="14" t="n">
        <v>399.4</v>
      </c>
    </row>
    <row r="64" customFormat="false" ht="15" hidden="false" customHeight="false" outlineLevel="0" collapsed="false">
      <c r="B64" s="7" t="s">
        <v>64</v>
      </c>
      <c r="C64" s="8" t="n">
        <v>27.13</v>
      </c>
      <c r="D64" s="9" t="n">
        <v>0</v>
      </c>
      <c r="E64" s="10" t="n">
        <f aca="false">+D64*C64</f>
        <v>0</v>
      </c>
      <c r="F64" s="9" t="n">
        <v>0</v>
      </c>
      <c r="G64" s="10" t="n">
        <f aca="false">+F64*C64</f>
        <v>0</v>
      </c>
      <c r="H64" s="9" t="n">
        <v>0</v>
      </c>
      <c r="I64" s="10" t="n">
        <f aca="false">+H64*C64</f>
        <v>0</v>
      </c>
      <c r="J64" s="9" t="n">
        <v>0</v>
      </c>
      <c r="K64" s="10" t="n">
        <f aca="false">+J64*C64</f>
        <v>0</v>
      </c>
      <c r="L64" s="9" t="n">
        <v>1</v>
      </c>
      <c r="M64" s="10" t="n">
        <f aca="false">+L64*C64</f>
        <v>27.13</v>
      </c>
      <c r="N64" s="9" t="n">
        <v>1</v>
      </c>
      <c r="O64" s="10" t="n">
        <f aca="false">+N64*C64</f>
        <v>27.13</v>
      </c>
      <c r="P64" s="10" t="n">
        <v>4</v>
      </c>
      <c r="Q64" s="10" t="n">
        <f aca="false">+P64*C64</f>
        <v>108.52</v>
      </c>
      <c r="R64" s="10" t="n">
        <v>4</v>
      </c>
      <c r="S64" s="10" t="n">
        <f aca="false">+R64*C64</f>
        <v>108.52</v>
      </c>
      <c r="T64" s="10" t="n">
        <v>0</v>
      </c>
      <c r="U64" s="10" t="n">
        <f aca="false">+T64*C64</f>
        <v>0</v>
      </c>
      <c r="V64" s="10" t="n">
        <v>0</v>
      </c>
      <c r="W64" s="10" t="n">
        <f aca="false">+V64*C64</f>
        <v>0</v>
      </c>
      <c r="X64" s="10" t="n">
        <v>0</v>
      </c>
      <c r="Y64" s="10" t="n">
        <f aca="false">+X64*C64</f>
        <v>0</v>
      </c>
      <c r="Z64" s="10" t="n">
        <v>4</v>
      </c>
      <c r="AA64" s="10" t="n">
        <f aca="false">+Z64*C64</f>
        <v>108.52</v>
      </c>
      <c r="AB64" s="11" t="n">
        <f aca="false">+D64+F64+H64+J64+L64+N64+P64+R64+T64+V64+X64+Z64</f>
        <v>14</v>
      </c>
      <c r="AC64" s="12" t="n">
        <f aca="false">+E64+G64+I64+K64+M64+O64+Q64+S64+U64+W64+Y64+AA64</f>
        <v>379.82</v>
      </c>
      <c r="AD64" s="13" t="n">
        <f aca="false">+AB64</f>
        <v>14</v>
      </c>
      <c r="AE64" s="14" t="n">
        <v>507.39</v>
      </c>
    </row>
    <row r="65" customFormat="false" ht="15" hidden="false" customHeight="false" outlineLevel="0" collapsed="false">
      <c r="B65" s="7" t="s">
        <v>65</v>
      </c>
      <c r="C65" s="8" t="n">
        <v>11.72</v>
      </c>
      <c r="D65" s="9" t="n">
        <v>1</v>
      </c>
      <c r="E65" s="10" t="n">
        <f aca="false">+D65*C65</f>
        <v>11.72</v>
      </c>
      <c r="F65" s="9" t="n">
        <v>9</v>
      </c>
      <c r="G65" s="10" t="n">
        <f aca="false">+F65*C65</f>
        <v>105.48</v>
      </c>
      <c r="H65" s="9" t="n">
        <v>2</v>
      </c>
      <c r="I65" s="10" t="n">
        <f aca="false">+H65*C65</f>
        <v>23.44</v>
      </c>
      <c r="J65" s="9" t="n">
        <v>11</v>
      </c>
      <c r="K65" s="10" t="n">
        <f aca="false">+J65*C65</f>
        <v>128.92</v>
      </c>
      <c r="L65" s="9" t="n">
        <v>1</v>
      </c>
      <c r="M65" s="10" t="n">
        <f aca="false">+L65*C65</f>
        <v>11.72</v>
      </c>
      <c r="N65" s="9" t="n">
        <v>9</v>
      </c>
      <c r="O65" s="10" t="n">
        <f aca="false">+N65*C65</f>
        <v>105.48</v>
      </c>
      <c r="P65" s="10" t="n">
        <v>0</v>
      </c>
      <c r="Q65" s="10" t="n">
        <f aca="false">+P65*C65</f>
        <v>0</v>
      </c>
      <c r="R65" s="10" t="n">
        <v>0</v>
      </c>
      <c r="S65" s="10" t="n">
        <f aca="false">+R65*C65</f>
        <v>0</v>
      </c>
      <c r="T65" s="10" t="n">
        <v>1</v>
      </c>
      <c r="U65" s="10" t="n">
        <f aca="false">+T65*C65</f>
        <v>11.72</v>
      </c>
      <c r="V65" s="10" t="n">
        <v>9</v>
      </c>
      <c r="W65" s="10" t="n">
        <f aca="false">+V65*C65</f>
        <v>105.48</v>
      </c>
      <c r="X65" s="10" t="n">
        <v>10</v>
      </c>
      <c r="Y65" s="10" t="n">
        <f aca="false">+X65*C65</f>
        <v>117.2</v>
      </c>
      <c r="Z65" s="10" t="n">
        <v>1</v>
      </c>
      <c r="AA65" s="10" t="n">
        <f aca="false">+Z65*C65</f>
        <v>11.72</v>
      </c>
      <c r="AB65" s="11" t="n">
        <f aca="false">+D65+F65+H65+J65+L65+N65+P65+R65+T65+V65+X65+Z65</f>
        <v>54</v>
      </c>
      <c r="AC65" s="12" t="n">
        <f aca="false">+E65+G65+I65+K65+M65+O65+Q65+S65+U65+W65+Y65+AA65</f>
        <v>632.88</v>
      </c>
      <c r="AD65" s="13" t="n">
        <f aca="false">+AB65</f>
        <v>54</v>
      </c>
      <c r="AE65" s="14" t="n">
        <v>889.91</v>
      </c>
    </row>
    <row r="66" customFormat="false" ht="15" hidden="false" customHeight="false" outlineLevel="0" collapsed="false">
      <c r="B66" s="7" t="s">
        <v>66</v>
      </c>
      <c r="C66" s="8" t="n">
        <v>6.65</v>
      </c>
      <c r="D66" s="9" t="n">
        <v>0</v>
      </c>
      <c r="E66" s="10" t="n">
        <f aca="false">+D66*C66</f>
        <v>0</v>
      </c>
      <c r="F66" s="9" t="n">
        <v>9</v>
      </c>
      <c r="G66" s="10" t="n">
        <f aca="false">+F66*C66</f>
        <v>59.85</v>
      </c>
      <c r="H66" s="9" t="n">
        <v>9</v>
      </c>
      <c r="I66" s="10" t="n">
        <f aca="false">+H66*C66</f>
        <v>59.85</v>
      </c>
      <c r="J66" s="9" t="n">
        <v>10</v>
      </c>
      <c r="K66" s="10" t="n">
        <f aca="false">+J66*C66</f>
        <v>66.5</v>
      </c>
      <c r="L66" s="9" t="n">
        <v>11</v>
      </c>
      <c r="M66" s="10" t="n">
        <f aca="false">+L66*C66</f>
        <v>73.15</v>
      </c>
      <c r="N66" s="9" t="n">
        <v>10</v>
      </c>
      <c r="O66" s="10" t="n">
        <f aca="false">+N66*C66</f>
        <v>66.5</v>
      </c>
      <c r="P66" s="10" t="n">
        <v>1</v>
      </c>
      <c r="Q66" s="10" t="n">
        <f aca="false">+P66*C66</f>
        <v>6.65</v>
      </c>
      <c r="R66" s="10" t="n">
        <v>8</v>
      </c>
      <c r="S66" s="10" t="n">
        <f aca="false">+R66*C66</f>
        <v>53.2</v>
      </c>
      <c r="T66" s="10" t="n">
        <v>1</v>
      </c>
      <c r="U66" s="10" t="n">
        <f aca="false">+T66*C66</f>
        <v>6.65</v>
      </c>
      <c r="V66" s="10" t="n">
        <v>0</v>
      </c>
      <c r="W66" s="10" t="n">
        <f aca="false">+V66*C66</f>
        <v>0</v>
      </c>
      <c r="X66" s="10" t="n">
        <v>10</v>
      </c>
      <c r="Y66" s="10" t="n">
        <f aca="false">+X66*C66</f>
        <v>66.5</v>
      </c>
      <c r="Z66" s="10" t="n">
        <v>2</v>
      </c>
      <c r="AA66" s="10" t="n">
        <f aca="false">+Z66*C66</f>
        <v>13.3</v>
      </c>
      <c r="AB66" s="11" t="n">
        <f aca="false">+D66+F66+H66+J66+L66+N66+P66+R66+T66+V66+X66+Z66</f>
        <v>71</v>
      </c>
      <c r="AC66" s="12" t="n">
        <f aca="false">+E66+G66+I66+K66+M66+O66+Q66+S66+U66+W66+Y66+AA66</f>
        <v>472.15</v>
      </c>
      <c r="AD66" s="13" t="n">
        <f aca="false">+AB66</f>
        <v>71</v>
      </c>
      <c r="AE66" s="14" t="n">
        <v>657.32</v>
      </c>
    </row>
    <row r="67" customFormat="false" ht="15" hidden="false" customHeight="false" outlineLevel="0" collapsed="false">
      <c r="B67" s="7" t="s">
        <v>67</v>
      </c>
      <c r="C67" s="8" t="n">
        <v>24.5</v>
      </c>
      <c r="D67" s="9" t="n">
        <v>4</v>
      </c>
      <c r="E67" s="10" t="n">
        <f aca="false">+D67*C67</f>
        <v>98</v>
      </c>
      <c r="F67" s="9" t="n">
        <v>0</v>
      </c>
      <c r="G67" s="10" t="n">
        <f aca="false">+F67*C67</f>
        <v>0</v>
      </c>
      <c r="H67" s="9" t="n">
        <v>4</v>
      </c>
      <c r="I67" s="10" t="n">
        <f aca="false">+H67*C67</f>
        <v>98</v>
      </c>
      <c r="J67" s="9" t="n">
        <v>4</v>
      </c>
      <c r="K67" s="10" t="n">
        <f aca="false">+J67*C67</f>
        <v>98</v>
      </c>
      <c r="L67" s="9" t="n">
        <v>4</v>
      </c>
      <c r="M67" s="10" t="n">
        <f aca="false">+L67*C67</f>
        <v>98</v>
      </c>
      <c r="N67" s="9" t="n">
        <v>0</v>
      </c>
      <c r="O67" s="10" t="n">
        <f aca="false">+N67*C67</f>
        <v>0</v>
      </c>
      <c r="P67" s="10" t="n">
        <v>0</v>
      </c>
      <c r="Q67" s="10" t="n">
        <f aca="false">+P67*C67</f>
        <v>0</v>
      </c>
      <c r="R67" s="10" t="n">
        <v>4</v>
      </c>
      <c r="S67" s="10" t="n">
        <f aca="false">+R67*C67</f>
        <v>98</v>
      </c>
      <c r="T67" s="10" t="n">
        <v>4</v>
      </c>
      <c r="U67" s="10" t="n">
        <f aca="false">+T67*C67</f>
        <v>98</v>
      </c>
      <c r="V67" s="10" t="n">
        <v>0</v>
      </c>
      <c r="W67" s="10" t="n">
        <f aca="false">+V67*C67</f>
        <v>0</v>
      </c>
      <c r="X67" s="10" t="n">
        <v>0</v>
      </c>
      <c r="Y67" s="10" t="n">
        <f aca="false">+X67*C67</f>
        <v>0</v>
      </c>
      <c r="Z67" s="10" t="n">
        <v>4</v>
      </c>
      <c r="AA67" s="10" t="n">
        <f aca="false">+Z67*C67</f>
        <v>98</v>
      </c>
      <c r="AB67" s="11" t="n">
        <f aca="false">+D67+F67+H67+J67+L67+N67+P67+R67+T67+V67+X67+Z67</f>
        <v>28</v>
      </c>
      <c r="AC67" s="12" t="n">
        <f aca="false">+E67+G67+I67+K67+M67+O67+Q67+S67+U67+W67+Y67+AA67</f>
        <v>686</v>
      </c>
      <c r="AD67" s="13" t="n">
        <f aca="false">+AB67</f>
        <v>28</v>
      </c>
      <c r="AE67" s="14" t="n">
        <v>949.59</v>
      </c>
    </row>
    <row r="68" customFormat="false" ht="15" hidden="false" customHeight="false" outlineLevel="0" collapsed="false">
      <c r="B68" s="7" t="s">
        <v>68</v>
      </c>
      <c r="C68" s="8" t="n">
        <v>18.53</v>
      </c>
      <c r="D68" s="9" t="n">
        <v>0</v>
      </c>
      <c r="E68" s="10" t="n">
        <f aca="false">+D68*C68</f>
        <v>0</v>
      </c>
      <c r="F68" s="9" t="n">
        <v>3</v>
      </c>
      <c r="G68" s="10" t="n">
        <f aca="false">+F68*C68</f>
        <v>55.59</v>
      </c>
      <c r="H68" s="9" t="n">
        <v>3</v>
      </c>
      <c r="I68" s="10" t="n">
        <f aca="false">+H68*C68</f>
        <v>55.59</v>
      </c>
      <c r="J68" s="9" t="n">
        <v>0</v>
      </c>
      <c r="K68" s="10" t="n">
        <f aca="false">+J68*C68</f>
        <v>0</v>
      </c>
      <c r="L68" s="9" t="n">
        <v>1</v>
      </c>
      <c r="M68" s="10" t="n">
        <f aca="false">+L68*C68</f>
        <v>18.53</v>
      </c>
      <c r="N68" s="9" t="n">
        <v>0</v>
      </c>
      <c r="O68" s="10" t="n">
        <f aca="false">+N68*C68</f>
        <v>0</v>
      </c>
      <c r="P68" s="10" t="n">
        <v>0</v>
      </c>
      <c r="Q68" s="10" t="n">
        <f aca="false">+P68*C68</f>
        <v>0</v>
      </c>
      <c r="R68" s="10" t="n">
        <v>1</v>
      </c>
      <c r="S68" s="10" t="n">
        <f aca="false">+R68*C68</f>
        <v>18.53</v>
      </c>
      <c r="T68" s="10" t="n">
        <v>0</v>
      </c>
      <c r="U68" s="10" t="n">
        <f aca="false">+T68*C68</f>
        <v>0</v>
      </c>
      <c r="V68" s="10" t="n">
        <v>0</v>
      </c>
      <c r="W68" s="10" t="n">
        <f aca="false">+V68*C68</f>
        <v>0</v>
      </c>
      <c r="X68" s="10" t="n">
        <v>0</v>
      </c>
      <c r="Y68" s="10" t="n">
        <f aca="false">+X68*C68</f>
        <v>0</v>
      </c>
      <c r="Z68" s="10" t="n">
        <v>0</v>
      </c>
      <c r="AA68" s="10" t="n">
        <f aca="false">+Z68*C68</f>
        <v>0</v>
      </c>
      <c r="AB68" s="11" t="n">
        <f aca="false">+D68+F68+H68+J68+L68+N68+P68+R68+T68+V68+X68+Z68</f>
        <v>8</v>
      </c>
      <c r="AC68" s="12" t="n">
        <f aca="false">+E68+G68+I68+K68+M68+O68+Q68+S68+U68+W68+Y68+AA68</f>
        <v>148.24</v>
      </c>
      <c r="AD68" s="13" t="n">
        <f aca="false">+AB68</f>
        <v>8</v>
      </c>
      <c r="AE68" s="14" t="n">
        <v>205.25</v>
      </c>
    </row>
    <row r="69" customFormat="false" ht="15" hidden="false" customHeight="false" outlineLevel="0" collapsed="false">
      <c r="B69" s="7" t="s">
        <v>69</v>
      </c>
      <c r="C69" s="8" t="n">
        <v>49.44</v>
      </c>
      <c r="D69" s="9" t="n">
        <v>0</v>
      </c>
      <c r="E69" s="10" t="n">
        <f aca="false">+D69*C69</f>
        <v>0</v>
      </c>
      <c r="F69" s="9" t="n">
        <v>0</v>
      </c>
      <c r="G69" s="10" t="n">
        <f aca="false">+F69*C69</f>
        <v>0</v>
      </c>
      <c r="H69" s="9" t="n">
        <v>2</v>
      </c>
      <c r="I69" s="10" t="n">
        <f aca="false">+H69*C69</f>
        <v>98.88</v>
      </c>
      <c r="J69" s="9" t="n">
        <v>2</v>
      </c>
      <c r="K69" s="10" t="n">
        <f aca="false">+J69*C69</f>
        <v>98.88</v>
      </c>
      <c r="L69" s="9" t="n">
        <v>0</v>
      </c>
      <c r="M69" s="10" t="n">
        <f aca="false">+L69*C69</f>
        <v>0</v>
      </c>
      <c r="N69" s="9" t="n">
        <v>1</v>
      </c>
      <c r="O69" s="10" t="n">
        <f aca="false">+N69*C69</f>
        <v>49.44</v>
      </c>
      <c r="P69" s="10" t="n">
        <v>2</v>
      </c>
      <c r="Q69" s="10" t="n">
        <f aca="false">+P69*C69</f>
        <v>98.88</v>
      </c>
      <c r="R69" s="10" t="n">
        <v>1</v>
      </c>
      <c r="S69" s="10" t="n">
        <f aca="false">+R69*C69</f>
        <v>49.44</v>
      </c>
      <c r="T69" s="10" t="n">
        <v>2</v>
      </c>
      <c r="U69" s="10" t="n">
        <f aca="false">+T69*C69</f>
        <v>98.88</v>
      </c>
      <c r="V69" s="10" t="n">
        <v>0</v>
      </c>
      <c r="W69" s="10" t="n">
        <f aca="false">+V69*C69</f>
        <v>0</v>
      </c>
      <c r="X69" s="10" t="n">
        <v>2</v>
      </c>
      <c r="Y69" s="10" t="n">
        <f aca="false">+X69*C69</f>
        <v>98.88</v>
      </c>
      <c r="Z69" s="10" t="n">
        <v>2</v>
      </c>
      <c r="AA69" s="10" t="n">
        <f aca="false">+Z69*C69</f>
        <v>98.88</v>
      </c>
      <c r="AB69" s="11" t="n">
        <f aca="false">+D69+F69+H69+J69+L69+N69+P69+R69+T69+V69+X69+Z69</f>
        <v>14</v>
      </c>
      <c r="AC69" s="12" t="n">
        <f aca="false">+E69+G69+I69+K69+M69+O69+Q69+S69+U69+W69+Y69+AA69</f>
        <v>692.16</v>
      </c>
      <c r="AD69" s="13" t="n">
        <f aca="false">+AB69</f>
        <v>14</v>
      </c>
      <c r="AE69" s="14" t="n">
        <v>966.6</v>
      </c>
    </row>
    <row r="70" customFormat="false" ht="15" hidden="false" customHeight="false" outlineLevel="0" collapsed="false">
      <c r="B70" s="7" t="s">
        <v>70</v>
      </c>
      <c r="C70" s="8" t="n">
        <v>82.87</v>
      </c>
      <c r="D70" s="9" t="n">
        <v>0</v>
      </c>
      <c r="E70" s="10" t="n">
        <f aca="false">+D70*C70</f>
        <v>0</v>
      </c>
      <c r="F70" s="9" t="n">
        <v>1</v>
      </c>
      <c r="G70" s="10" t="n">
        <f aca="false">+F70*C70</f>
        <v>82.87</v>
      </c>
      <c r="H70" s="9" t="n">
        <v>2</v>
      </c>
      <c r="I70" s="10" t="n">
        <f aca="false">+H70*C70</f>
        <v>165.74</v>
      </c>
      <c r="J70" s="9" t="n">
        <v>2</v>
      </c>
      <c r="K70" s="10" t="n">
        <f aca="false">+J70*C70</f>
        <v>165.74</v>
      </c>
      <c r="L70" s="9" t="n">
        <v>2</v>
      </c>
      <c r="M70" s="10" t="n">
        <f aca="false">+L70*C70</f>
        <v>165.74</v>
      </c>
      <c r="N70" s="9" t="n">
        <v>2</v>
      </c>
      <c r="O70" s="10" t="n">
        <f aca="false">+N70*C70</f>
        <v>165.74</v>
      </c>
      <c r="P70" s="10" t="n">
        <v>1</v>
      </c>
      <c r="Q70" s="10" t="n">
        <f aca="false">+P70*C70</f>
        <v>82.87</v>
      </c>
      <c r="R70" s="10" t="n">
        <v>0</v>
      </c>
      <c r="S70" s="10" t="n">
        <f aca="false">+R70*C70</f>
        <v>0</v>
      </c>
      <c r="T70" s="10" t="n">
        <v>2</v>
      </c>
      <c r="U70" s="10" t="n">
        <f aca="false">+T70*C70</f>
        <v>165.74</v>
      </c>
      <c r="V70" s="10" t="n">
        <v>0</v>
      </c>
      <c r="W70" s="10" t="n">
        <f aca="false">+V70*C70</f>
        <v>0</v>
      </c>
      <c r="X70" s="10" t="n">
        <v>2</v>
      </c>
      <c r="Y70" s="10" t="n">
        <f aca="false">+X70*C70</f>
        <v>165.74</v>
      </c>
      <c r="Z70" s="10" t="n">
        <v>0</v>
      </c>
      <c r="AA70" s="10" t="n">
        <f aca="false">+Z70*C70</f>
        <v>0</v>
      </c>
      <c r="AB70" s="11" t="n">
        <f aca="false">+D70+F70+H70+J70+L70+N70+P70+R70+T70+V70+X70+Z70</f>
        <v>14</v>
      </c>
      <c r="AC70" s="12" t="n">
        <f aca="false">+E70+G70+I70+K70+M70+O70+Q70+S70+U70+W70+Y70+AA70</f>
        <v>1160.18</v>
      </c>
      <c r="AD70" s="13" t="n">
        <f aca="false">+AB70</f>
        <v>14</v>
      </c>
      <c r="AE70" s="14" t="n">
        <v>1596.79</v>
      </c>
    </row>
    <row r="71" customFormat="false" ht="15" hidden="false" customHeight="false" outlineLevel="0" collapsed="false">
      <c r="B71" s="7" t="s">
        <v>71</v>
      </c>
      <c r="C71" s="8" t="n">
        <v>4.34</v>
      </c>
      <c r="D71" s="9" t="n">
        <v>7</v>
      </c>
      <c r="E71" s="10" t="n">
        <f aca="false">+D71*C71</f>
        <v>30.38</v>
      </c>
      <c r="F71" s="9" t="n">
        <v>9</v>
      </c>
      <c r="G71" s="10" t="n">
        <f aca="false">+F71*C71</f>
        <v>39.06</v>
      </c>
      <c r="H71" s="9" t="n">
        <v>8</v>
      </c>
      <c r="I71" s="10" t="n">
        <f aca="false">+H71*C71</f>
        <v>34.72</v>
      </c>
      <c r="J71" s="9" t="n">
        <v>9</v>
      </c>
      <c r="K71" s="10" t="n">
        <f aca="false">+J71*C71</f>
        <v>39.06</v>
      </c>
      <c r="L71" s="9" t="n">
        <v>10</v>
      </c>
      <c r="M71" s="10" t="n">
        <f aca="false">+L71*C71</f>
        <v>43.4</v>
      </c>
      <c r="N71" s="9" t="n">
        <v>1</v>
      </c>
      <c r="O71" s="10" t="n">
        <f aca="false">+N71*C71</f>
        <v>4.34</v>
      </c>
      <c r="P71" s="10" t="n">
        <v>0</v>
      </c>
      <c r="Q71" s="10" t="n">
        <f aca="false">+P71*C71</f>
        <v>0</v>
      </c>
      <c r="R71" s="10" t="n">
        <v>7</v>
      </c>
      <c r="S71" s="10" t="n">
        <f aca="false">+R71*C71</f>
        <v>30.38</v>
      </c>
      <c r="T71" s="10" t="n">
        <v>1</v>
      </c>
      <c r="U71" s="10" t="n">
        <f aca="false">+T71*C71</f>
        <v>4.34</v>
      </c>
      <c r="V71" s="10" t="n">
        <v>8</v>
      </c>
      <c r="W71" s="10" t="n">
        <f aca="false">+V71*C71</f>
        <v>34.72</v>
      </c>
      <c r="X71" s="10" t="n">
        <v>1</v>
      </c>
      <c r="Y71" s="10" t="n">
        <f aca="false">+X71*C71</f>
        <v>4.34</v>
      </c>
      <c r="Z71" s="10" t="n">
        <v>1</v>
      </c>
      <c r="AA71" s="10" t="n">
        <f aca="false">+Z71*C71</f>
        <v>4.34</v>
      </c>
      <c r="AB71" s="11" t="n">
        <f aca="false">+D71+F71+H71+J71+L71+N71+P71+R71+T71+V71+X71+Z71</f>
        <v>62</v>
      </c>
      <c r="AC71" s="12" t="n">
        <f aca="false">+E71+G71+I71+K71+M71+O71+Q71+S71+U71+W71+Y71+AA71</f>
        <v>269.08</v>
      </c>
      <c r="AD71" s="13" t="n">
        <f aca="false">+AB71</f>
        <v>62</v>
      </c>
      <c r="AE71" s="14" t="n">
        <v>365.97</v>
      </c>
    </row>
    <row r="72" customFormat="false" ht="15" hidden="false" customHeight="false" outlineLevel="0" collapsed="false">
      <c r="B72" s="7" t="s">
        <v>72</v>
      </c>
      <c r="C72" s="8" t="n">
        <v>90.68</v>
      </c>
      <c r="D72" s="9" t="n">
        <v>1</v>
      </c>
      <c r="E72" s="10" t="n">
        <f aca="false">+D72*C72</f>
        <v>90.68</v>
      </c>
      <c r="F72" s="9" t="n">
        <v>2</v>
      </c>
      <c r="G72" s="10" t="n">
        <f aca="false">+F72*C72</f>
        <v>181.36</v>
      </c>
      <c r="H72" s="9" t="n">
        <v>0</v>
      </c>
      <c r="I72" s="10" t="n">
        <f aca="false">+H72*C72</f>
        <v>0</v>
      </c>
      <c r="J72" s="9" t="n">
        <v>0</v>
      </c>
      <c r="K72" s="10" t="n">
        <f aca="false">+J72*C72</f>
        <v>0</v>
      </c>
      <c r="L72" s="9" t="n">
        <v>0</v>
      </c>
      <c r="M72" s="10" t="n">
        <f aca="false">+L72*C72</f>
        <v>0</v>
      </c>
      <c r="N72" s="9" t="n">
        <v>0</v>
      </c>
      <c r="O72" s="10" t="n">
        <f aca="false">+N72*C72</f>
        <v>0</v>
      </c>
      <c r="P72" s="10" t="n">
        <v>2</v>
      </c>
      <c r="Q72" s="10" t="n">
        <f aca="false">+P72*C72</f>
        <v>181.36</v>
      </c>
      <c r="R72" s="10" t="n">
        <v>0</v>
      </c>
      <c r="S72" s="10" t="n">
        <f aca="false">+R72*C72</f>
        <v>0</v>
      </c>
      <c r="T72" s="10" t="n">
        <v>0</v>
      </c>
      <c r="U72" s="10" t="n">
        <f aca="false">+T72*C72</f>
        <v>0</v>
      </c>
      <c r="V72" s="10" t="n">
        <v>0</v>
      </c>
      <c r="W72" s="10" t="n">
        <f aca="false">+V72*C72</f>
        <v>0</v>
      </c>
      <c r="X72" s="10" t="n">
        <v>2</v>
      </c>
      <c r="Y72" s="10" t="n">
        <f aca="false">+X72*C72</f>
        <v>181.36</v>
      </c>
      <c r="Z72" s="10" t="n">
        <v>0</v>
      </c>
      <c r="AA72" s="10" t="n">
        <f aca="false">+Z72*C72</f>
        <v>0</v>
      </c>
      <c r="AB72" s="11" t="n">
        <f aca="false">+D72+F72+H72+J72+L72+N72+P72+R72+T72+V72+X72+Z72</f>
        <v>7</v>
      </c>
      <c r="AC72" s="12" t="n">
        <f aca="false">+E72+G72+I72+K72+M72+O72+Q72+S72+U72+W72+Y72+AA72</f>
        <v>634.76</v>
      </c>
      <c r="AD72" s="13" t="n">
        <f aca="false">+AB72</f>
        <v>7</v>
      </c>
      <c r="AE72" s="14" t="n">
        <v>852.01</v>
      </c>
    </row>
    <row r="74" customFormat="false" ht="15" hidden="false" customHeight="false" outlineLevel="0" collapsed="false">
      <c r="B74" s="1" t="s">
        <v>30</v>
      </c>
      <c r="P74" s="1"/>
      <c r="Q74" s="1"/>
      <c r="R74" s="1"/>
      <c r="S74" s="1"/>
      <c r="T74" s="1"/>
      <c r="V74" s="1"/>
      <c r="W74" s="1" t="s">
        <v>31</v>
      </c>
      <c r="X74" s="1"/>
      <c r="Y74" s="1"/>
      <c r="Z74" s="1"/>
      <c r="AA74" s="1"/>
      <c r="AC74" s="16" t="n">
        <f aca="false">SUM(AC41:AC73)</f>
        <v>34170.84</v>
      </c>
      <c r="AE74" s="17" t="n">
        <f aca="false">SUM(AE41:AE73)</f>
        <v>47252.43</v>
      </c>
    </row>
    <row r="75" customFormat="false" ht="15" hidden="false" customHeight="false" outlineLevel="0" collapsed="false">
      <c r="AE75" s="18" t="n">
        <f aca="false">+AE74/AC74</f>
        <v>1.38282904371095</v>
      </c>
    </row>
    <row r="78" customFormat="false" ht="15" hidden="false" customHeight="false" outlineLevel="0" collapsed="false">
      <c r="C78" s="1" t="s">
        <v>73</v>
      </c>
    </row>
    <row r="80" customFormat="false" ht="15" hidden="false" customHeight="true" outlineLevel="0" collapsed="false">
      <c r="B80" s="2" t="s">
        <v>1</v>
      </c>
      <c r="C80" s="3" t="s">
        <v>2</v>
      </c>
      <c r="D80" s="4" t="s">
        <v>3</v>
      </c>
      <c r="E80" s="4"/>
      <c r="F80" s="4" t="s">
        <v>4</v>
      </c>
      <c r="G80" s="4"/>
      <c r="H80" s="4" t="s">
        <v>5</v>
      </c>
      <c r="I80" s="4"/>
      <c r="J80" s="4" t="s">
        <v>6</v>
      </c>
      <c r="K80" s="4"/>
      <c r="L80" s="4" t="s">
        <v>7</v>
      </c>
      <c r="M80" s="4"/>
      <c r="N80" s="4" t="s">
        <v>8</v>
      </c>
      <c r="O80" s="4"/>
      <c r="P80" s="4" t="s">
        <v>9</v>
      </c>
      <c r="Q80" s="4"/>
      <c r="R80" s="4" t="s">
        <v>10</v>
      </c>
      <c r="S80" s="4"/>
      <c r="T80" s="4" t="s">
        <v>11</v>
      </c>
      <c r="U80" s="4"/>
      <c r="V80" s="4" t="s">
        <v>12</v>
      </c>
      <c r="W80" s="4"/>
      <c r="X80" s="4" t="s">
        <v>13</v>
      </c>
      <c r="Y80" s="4"/>
      <c r="Z80" s="4" t="s">
        <v>14</v>
      </c>
      <c r="AA80" s="4"/>
      <c r="AB80" s="5" t="s">
        <v>15</v>
      </c>
      <c r="AC80" s="5"/>
      <c r="AD80" s="6" t="s">
        <v>16</v>
      </c>
      <c r="AE80" s="6"/>
    </row>
    <row r="81" customFormat="false" ht="15" hidden="false" customHeight="false" outlineLevel="0" collapsed="false">
      <c r="B81" s="2"/>
      <c r="C81" s="2"/>
      <c r="D81" s="4" t="s">
        <v>17</v>
      </c>
      <c r="E81" s="4" t="s">
        <v>18</v>
      </c>
      <c r="F81" s="4" t="s">
        <v>17</v>
      </c>
      <c r="G81" s="4" t="s">
        <v>18</v>
      </c>
      <c r="H81" s="4" t="s">
        <v>17</v>
      </c>
      <c r="I81" s="4" t="s">
        <v>18</v>
      </c>
      <c r="J81" s="4" t="s">
        <v>17</v>
      </c>
      <c r="K81" s="4" t="s">
        <v>18</v>
      </c>
      <c r="L81" s="4" t="s">
        <v>17</v>
      </c>
      <c r="M81" s="4" t="s">
        <v>18</v>
      </c>
      <c r="N81" s="4" t="s">
        <v>17</v>
      </c>
      <c r="O81" s="4" t="s">
        <v>18</v>
      </c>
      <c r="P81" s="4" t="s">
        <v>17</v>
      </c>
      <c r="Q81" s="4" t="s">
        <v>18</v>
      </c>
      <c r="R81" s="4" t="s">
        <v>17</v>
      </c>
      <c r="S81" s="4" t="s">
        <v>18</v>
      </c>
      <c r="T81" s="4" t="s">
        <v>17</v>
      </c>
      <c r="U81" s="4" t="s">
        <v>18</v>
      </c>
      <c r="V81" s="4" t="s">
        <v>17</v>
      </c>
      <c r="W81" s="4" t="s">
        <v>18</v>
      </c>
      <c r="X81" s="4" t="s">
        <v>17</v>
      </c>
      <c r="Y81" s="4" t="s">
        <v>18</v>
      </c>
      <c r="Z81" s="4" t="s">
        <v>17</v>
      </c>
      <c r="AA81" s="4" t="s">
        <v>18</v>
      </c>
      <c r="AB81" s="5" t="s">
        <v>17</v>
      </c>
      <c r="AC81" s="5" t="s">
        <v>18</v>
      </c>
      <c r="AD81" s="6" t="s">
        <v>17</v>
      </c>
      <c r="AE81" s="6" t="s">
        <v>18</v>
      </c>
    </row>
    <row r="82" customFormat="false" ht="15" hidden="false" customHeight="false" outlineLevel="0" collapsed="false">
      <c r="A82" s="19" t="n">
        <v>45839</v>
      </c>
      <c r="B82" s="7" t="s">
        <v>74</v>
      </c>
      <c r="C82" s="8" t="n">
        <v>5.88</v>
      </c>
      <c r="D82" s="9" t="n">
        <v>105</v>
      </c>
      <c r="E82" s="10" t="n">
        <f aca="false">+D82*C82</f>
        <v>617.4</v>
      </c>
      <c r="F82" s="9" t="n">
        <v>98</v>
      </c>
      <c r="G82" s="10" t="n">
        <f aca="false">+F82*C82</f>
        <v>576.24</v>
      </c>
      <c r="H82" s="9" t="n">
        <v>90</v>
      </c>
      <c r="I82" s="10" t="n">
        <f aca="false">+H82*C82</f>
        <v>529.2</v>
      </c>
      <c r="J82" s="9" t="n">
        <v>88</v>
      </c>
      <c r="K82" s="10" t="n">
        <f aca="false">+J82*C82</f>
        <v>517.44</v>
      </c>
      <c r="L82" s="9" t="n">
        <v>98</v>
      </c>
      <c r="M82" s="10" t="n">
        <f aca="false">+L82*C82</f>
        <v>576.24</v>
      </c>
      <c r="N82" s="9" t="n">
        <v>104</v>
      </c>
      <c r="O82" s="10" t="n">
        <f aca="false">+N82*C82</f>
        <v>611.52</v>
      </c>
      <c r="P82" s="10" t="n">
        <v>82</v>
      </c>
      <c r="Q82" s="10" t="n">
        <f aca="false">+P82*C82</f>
        <v>482.16</v>
      </c>
      <c r="R82" s="10" t="n">
        <v>84</v>
      </c>
      <c r="S82" s="10" t="n">
        <f aca="false">+R82*C82</f>
        <v>493.92</v>
      </c>
      <c r="T82" s="10" t="n">
        <v>89</v>
      </c>
      <c r="U82" s="10" t="n">
        <f aca="false">+T82*C82</f>
        <v>523.32</v>
      </c>
      <c r="V82" s="10" t="n">
        <v>10</v>
      </c>
      <c r="W82" s="10" t="n">
        <f aca="false">+V82*C82</f>
        <v>58.8</v>
      </c>
      <c r="X82" s="10" t="n">
        <v>89</v>
      </c>
      <c r="Y82" s="10" t="n">
        <f aca="false">+X82*C82</f>
        <v>523.32</v>
      </c>
      <c r="Z82" s="10" t="n">
        <v>87</v>
      </c>
      <c r="AA82" s="10" t="n">
        <f aca="false">+Z82*C82</f>
        <v>511.56</v>
      </c>
      <c r="AB82" s="11" t="n">
        <f aca="false">+D82+F82+H82+J82+L82+N82+P82+R82+T82+V82+X82+Z82</f>
        <v>1024</v>
      </c>
      <c r="AC82" s="12" t="n">
        <f aca="false">+E82+G82+I82+K82+M82+O82+Q82+S82+U82+W82+Y82+AA82</f>
        <v>6021.12</v>
      </c>
      <c r="AD82" s="13" t="n">
        <f aca="false">+AB82</f>
        <v>1024</v>
      </c>
      <c r="AE82" s="14" t="n">
        <v>11516.61</v>
      </c>
    </row>
    <row r="83" customFormat="false" ht="15" hidden="false" customHeight="false" outlineLevel="0" collapsed="false">
      <c r="A83" s="19" t="n">
        <v>45839</v>
      </c>
      <c r="B83" s="7" t="s">
        <v>75</v>
      </c>
      <c r="C83" s="8" t="n">
        <v>3.08</v>
      </c>
      <c r="D83" s="9" t="n">
        <v>146</v>
      </c>
      <c r="E83" s="10" t="n">
        <f aca="false">+D83*C83</f>
        <v>449.68</v>
      </c>
      <c r="F83" s="9" t="n">
        <v>14</v>
      </c>
      <c r="G83" s="10" t="n">
        <f aca="false">+F83*C83</f>
        <v>43.12</v>
      </c>
      <c r="H83" s="9" t="n">
        <v>140</v>
      </c>
      <c r="I83" s="10" t="n">
        <f aca="false">+H83*C83</f>
        <v>431.2</v>
      </c>
      <c r="J83" s="9" t="n">
        <v>120</v>
      </c>
      <c r="K83" s="10" t="n">
        <f aca="false">+J83*C83</f>
        <v>369.6</v>
      </c>
      <c r="L83" s="9" t="n">
        <v>143</v>
      </c>
      <c r="M83" s="10" t="n">
        <f aca="false">+L83*C83</f>
        <v>440.44</v>
      </c>
      <c r="N83" s="9" t="n">
        <v>144</v>
      </c>
      <c r="O83" s="10" t="n">
        <f aca="false">+N83*C83</f>
        <v>443.52</v>
      </c>
      <c r="P83" s="10" t="n">
        <v>119</v>
      </c>
      <c r="Q83" s="10" t="n">
        <f aca="false">+P83*C83</f>
        <v>366.52</v>
      </c>
      <c r="R83" s="10" t="n">
        <v>123</v>
      </c>
      <c r="S83" s="10" t="n">
        <f aca="false">+R83*C83</f>
        <v>378.84</v>
      </c>
      <c r="T83" s="10" t="n">
        <v>131</v>
      </c>
      <c r="U83" s="10" t="n">
        <f aca="false">+T83*C83</f>
        <v>403.48</v>
      </c>
      <c r="V83" s="10" t="n">
        <v>131</v>
      </c>
      <c r="W83" s="10" t="n">
        <f aca="false">+V83*C83</f>
        <v>403.48</v>
      </c>
      <c r="X83" s="10" t="n">
        <v>16</v>
      </c>
      <c r="Y83" s="10" t="n">
        <f aca="false">+X83*C83</f>
        <v>49.28</v>
      </c>
      <c r="Z83" s="10" t="n">
        <v>14</v>
      </c>
      <c r="AA83" s="10" t="n">
        <f aca="false">+Z83*C83</f>
        <v>43.12</v>
      </c>
      <c r="AB83" s="11" t="n">
        <f aca="false">+D83+F83+H83+J83+L83+N83+P83+R83+T83+V83</f>
        <v>1211</v>
      </c>
      <c r="AC83" s="12" t="n">
        <f aca="false">+E83+G83+I83+K83+M83+O83+Q83+S83+U83+W83</f>
        <v>3729.88</v>
      </c>
      <c r="AD83" s="13" t="n">
        <f aca="false">+AB83</f>
        <v>1211</v>
      </c>
      <c r="AE83" s="14" t="n">
        <v>7147.9</v>
      </c>
    </row>
    <row r="84" customFormat="false" ht="15" hidden="false" customHeight="false" outlineLevel="0" collapsed="false">
      <c r="A84" s="19" t="n">
        <v>46143</v>
      </c>
      <c r="B84" s="7" t="s">
        <v>76</v>
      </c>
      <c r="C84" s="8" t="n">
        <v>11.13</v>
      </c>
      <c r="D84" s="9" t="n">
        <v>80</v>
      </c>
      <c r="E84" s="10" t="n">
        <f aca="false">+D84*C84</f>
        <v>890.4</v>
      </c>
      <c r="F84" s="9" t="n">
        <v>73</v>
      </c>
      <c r="G84" s="10" t="n">
        <f aca="false">+F84*C84</f>
        <v>812.49</v>
      </c>
      <c r="H84" s="9" t="n">
        <v>73</v>
      </c>
      <c r="I84" s="10" t="n">
        <f aca="false">+H84*C84</f>
        <v>812.49</v>
      </c>
      <c r="J84" s="9" t="n">
        <v>77</v>
      </c>
      <c r="K84" s="10" t="n">
        <f aca="false">+J84*C84</f>
        <v>857.01</v>
      </c>
      <c r="L84" s="9" t="n">
        <v>91</v>
      </c>
      <c r="M84" s="10" t="n">
        <f aca="false">+L84*C84</f>
        <v>1012.83</v>
      </c>
      <c r="N84" s="9" t="n">
        <v>83</v>
      </c>
      <c r="O84" s="10" t="n">
        <f aca="false">+N84*C84</f>
        <v>923.79</v>
      </c>
      <c r="P84" s="10" t="n">
        <v>5</v>
      </c>
      <c r="Q84" s="10" t="n">
        <f aca="false">+P84*C84</f>
        <v>55.65</v>
      </c>
      <c r="R84" s="10" t="n">
        <v>70</v>
      </c>
      <c r="S84" s="10" t="n">
        <f aca="false">+R84*C84</f>
        <v>779.1</v>
      </c>
      <c r="T84" s="10" t="n">
        <v>84</v>
      </c>
      <c r="U84" s="10" t="n">
        <f aca="false">+T84*C84</f>
        <v>934.92</v>
      </c>
      <c r="V84" s="10" t="n">
        <v>83</v>
      </c>
      <c r="W84" s="10" t="n">
        <f aca="false">+V84*C84</f>
        <v>923.79</v>
      </c>
      <c r="X84" s="10" t="n">
        <v>76</v>
      </c>
      <c r="Y84" s="10" t="n">
        <f aca="false">+X84*C84</f>
        <v>845.88</v>
      </c>
      <c r="Z84" s="10" t="n">
        <v>69</v>
      </c>
      <c r="AA84" s="10" t="n">
        <f aca="false">+Z84*C84</f>
        <v>767.97</v>
      </c>
      <c r="AB84" s="11" t="n">
        <f aca="false">+D84+F84+H84+J84+L84+N84+P84+R84+T84+V84</f>
        <v>719</v>
      </c>
      <c r="AC84" s="12" t="n">
        <f aca="false">+E84+G84+I84+K84+M84+O84+Q84+S84+U84+W84</f>
        <v>8002.47</v>
      </c>
      <c r="AD84" s="13" t="n">
        <f aca="false">+AB84</f>
        <v>719</v>
      </c>
      <c r="AE84" s="14" t="n">
        <v>17939.53</v>
      </c>
    </row>
    <row r="85" customFormat="false" ht="15" hidden="false" customHeight="false" outlineLevel="0" collapsed="false">
      <c r="A85" s="19" t="n">
        <v>46143</v>
      </c>
      <c r="B85" s="7" t="s">
        <v>77</v>
      </c>
      <c r="C85" s="8" t="n">
        <v>2.7</v>
      </c>
      <c r="D85" s="9" t="n">
        <v>105</v>
      </c>
      <c r="E85" s="10" t="n">
        <f aca="false">+D85*C85</f>
        <v>283.5</v>
      </c>
      <c r="F85" s="9" t="n">
        <v>110</v>
      </c>
      <c r="G85" s="10" t="n">
        <f aca="false">+F85*C85</f>
        <v>297</v>
      </c>
      <c r="H85" s="9" t="n">
        <v>14</v>
      </c>
      <c r="I85" s="10" t="n">
        <f aca="false">+H85*C85</f>
        <v>37.8</v>
      </c>
      <c r="J85" s="9" t="n">
        <v>106</v>
      </c>
      <c r="K85" s="10" t="n">
        <f aca="false">+J85*C85</f>
        <v>286.2</v>
      </c>
      <c r="L85" s="9" t="n">
        <v>11</v>
      </c>
      <c r="M85" s="10" t="n">
        <f aca="false">+L85*C85</f>
        <v>29.7</v>
      </c>
      <c r="N85" s="9" t="n">
        <v>114</v>
      </c>
      <c r="O85" s="10" t="n">
        <f aca="false">+N85*C85</f>
        <v>307.8</v>
      </c>
      <c r="P85" s="10" t="n">
        <v>12</v>
      </c>
      <c r="Q85" s="10" t="n">
        <f aca="false">+P85*C85</f>
        <v>32.4</v>
      </c>
      <c r="R85" s="10" t="n">
        <v>104</v>
      </c>
      <c r="S85" s="10" t="n">
        <f aca="false">+R85*C85</f>
        <v>280.8</v>
      </c>
      <c r="T85" s="10" t="n">
        <v>109</v>
      </c>
      <c r="U85" s="10" t="n">
        <f aca="false">+T85*C85</f>
        <v>294.3</v>
      </c>
      <c r="V85" s="10" t="n">
        <v>122</v>
      </c>
      <c r="W85" s="10" t="n">
        <f aca="false">+V85*C85</f>
        <v>329.4</v>
      </c>
      <c r="X85" s="10" t="n">
        <v>9</v>
      </c>
      <c r="Y85" s="10" t="n">
        <f aca="false">+X85*C85</f>
        <v>24.3</v>
      </c>
      <c r="Z85" s="10" t="n">
        <v>110</v>
      </c>
      <c r="AA85" s="10" t="n">
        <f aca="false">+Z85*C85</f>
        <v>297</v>
      </c>
      <c r="AB85" s="11" t="n">
        <f aca="false">+D85+F85+H85+J85+L85+N85+P85+R85+T85+V85</f>
        <v>807</v>
      </c>
      <c r="AC85" s="12" t="n">
        <f aca="false">+E85+G85+I85+K85+M85+O85+Q85+S85+U85+W85</f>
        <v>2178.9</v>
      </c>
      <c r="AD85" s="13" t="n">
        <f aca="false">+AB85</f>
        <v>807</v>
      </c>
      <c r="AE85" s="14" t="n">
        <v>4710.59</v>
      </c>
    </row>
    <row r="86" customFormat="false" ht="15" hidden="false" customHeight="false" outlineLevel="0" collapsed="false">
      <c r="A86" s="19" t="n">
        <v>46143</v>
      </c>
      <c r="B86" s="7" t="s">
        <v>78</v>
      </c>
      <c r="C86" s="8" t="n">
        <v>1.62</v>
      </c>
      <c r="D86" s="9" t="n">
        <v>12</v>
      </c>
      <c r="E86" s="10" t="n">
        <f aca="false">+D86*C86</f>
        <v>19.44</v>
      </c>
      <c r="F86" s="9" t="n">
        <v>110</v>
      </c>
      <c r="G86" s="10" t="n">
        <f aca="false">+F86*C86</f>
        <v>178.2</v>
      </c>
      <c r="H86" s="9" t="n">
        <v>14</v>
      </c>
      <c r="I86" s="10" t="n">
        <f aca="false">+H86*C86</f>
        <v>22.68</v>
      </c>
      <c r="J86" s="9" t="n">
        <v>107</v>
      </c>
      <c r="K86" s="10" t="n">
        <f aca="false">+J86*C86</f>
        <v>173.34</v>
      </c>
      <c r="L86" s="20" t="n">
        <v>123</v>
      </c>
      <c r="M86" s="10" t="n">
        <f aca="false">+L86*C86</f>
        <v>199.26</v>
      </c>
      <c r="N86" s="9" t="n">
        <v>1</v>
      </c>
      <c r="O86" s="10" t="n">
        <f aca="false">+N86*C86</f>
        <v>1.62</v>
      </c>
      <c r="P86" s="10" t="n">
        <v>86</v>
      </c>
      <c r="Q86" s="10" t="n">
        <f aca="false">+P86*C86</f>
        <v>139.32</v>
      </c>
      <c r="R86" s="10" t="n">
        <v>14</v>
      </c>
      <c r="S86" s="10" t="n">
        <f aca="false">+R86*C86</f>
        <v>22.68</v>
      </c>
      <c r="T86" s="10" t="n">
        <v>104</v>
      </c>
      <c r="U86" s="10" t="n">
        <f aca="false">+T86*C86</f>
        <v>168.48</v>
      </c>
      <c r="V86" s="10" t="n">
        <v>110</v>
      </c>
      <c r="W86" s="10" t="n">
        <f aca="false">+V86*C86</f>
        <v>178.2</v>
      </c>
      <c r="X86" s="10" t="n">
        <v>9</v>
      </c>
      <c r="Y86" s="10" t="n">
        <f aca="false">+X86*C86</f>
        <v>14.58</v>
      </c>
      <c r="Z86" s="10" t="n">
        <v>13</v>
      </c>
      <c r="AA86" s="10" t="n">
        <f aca="false">+Z86*C86</f>
        <v>21.06</v>
      </c>
      <c r="AB86" s="11" t="n">
        <f aca="false">+D86+F86+H86+J86+L86+N86+P86+R86+T86+V86</f>
        <v>681</v>
      </c>
      <c r="AC86" s="12" t="n">
        <f aca="false">+E86+G86+I86+K86+M86+O86+Q86+S86+U86+W86</f>
        <v>1103.22</v>
      </c>
      <c r="AD86" s="13" t="n">
        <f aca="false">+AB86</f>
        <v>681</v>
      </c>
      <c r="AE86" s="14" t="n">
        <v>2080.08</v>
      </c>
    </row>
    <row r="87" customFormat="false" ht="15" hidden="false" customHeight="false" outlineLevel="0" collapsed="false">
      <c r="B87" s="7"/>
      <c r="C87" s="8"/>
      <c r="D87" s="9"/>
      <c r="E87" s="10"/>
      <c r="F87" s="9"/>
      <c r="G87" s="10"/>
      <c r="H87" s="9"/>
      <c r="I87" s="10"/>
      <c r="J87" s="9"/>
      <c r="K87" s="10"/>
      <c r="L87" s="9"/>
      <c r="M87" s="10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  <c r="AC87" s="12"/>
      <c r="AD87" s="13"/>
      <c r="AE87" s="14"/>
    </row>
    <row r="88" customFormat="false" ht="15" hidden="false" customHeight="false" outlineLevel="0" collapsed="false">
      <c r="B88" s="7"/>
      <c r="C88" s="8"/>
      <c r="D88" s="9"/>
      <c r="E88" s="10"/>
      <c r="F88" s="9"/>
      <c r="G88" s="10"/>
      <c r="H88" s="9"/>
      <c r="I88" s="10"/>
      <c r="J88" s="9"/>
      <c r="K88" s="10"/>
      <c r="L88" s="9"/>
      <c r="M88" s="10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  <c r="AC88" s="12"/>
      <c r="AD88" s="13"/>
      <c r="AE88" s="14"/>
    </row>
    <row r="90" customFormat="false" ht="15" hidden="false" customHeight="false" outlineLevel="0" collapsed="false">
      <c r="B90" s="1" t="s">
        <v>30</v>
      </c>
      <c r="P90" s="1"/>
      <c r="Q90" s="1"/>
      <c r="R90" s="1"/>
      <c r="S90" s="1"/>
      <c r="T90" s="1"/>
      <c r="V90" s="1"/>
      <c r="W90" s="1" t="s">
        <v>31</v>
      </c>
      <c r="X90" s="1"/>
      <c r="Y90" s="1"/>
      <c r="Z90" s="1"/>
      <c r="AA90" s="1"/>
      <c r="AC90" s="16" t="n">
        <f aca="false">SUM(AC82:AC89)</f>
        <v>21035.59</v>
      </c>
      <c r="AE90" s="17" t="n">
        <f aca="false">SUM(AE82:AE89)</f>
        <v>43394.71</v>
      </c>
    </row>
    <row r="91" customFormat="false" ht="15" hidden="false" customHeight="false" outlineLevel="0" collapsed="false">
      <c r="AE91" s="18" t="n">
        <f aca="false">+AE90/AC90</f>
        <v>2.06291860603862</v>
      </c>
    </row>
  </sheetData>
  <mergeCells count="64">
    <mergeCell ref="B4:B5"/>
    <mergeCell ref="C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B23:B24"/>
    <mergeCell ref="C23:C24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B39:B40"/>
    <mergeCell ref="C39:C40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B80:B81"/>
    <mergeCell ref="C80:C81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</mergeCells>
  <printOptions headings="false" gridLines="false" gridLinesSet="true" horizontalCentered="true" verticalCentered="false"/>
  <pageMargins left="0.118055555555556" right="0.118055555555556" top="0.354166666666667" bottom="0.157638888888889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2025-07-03T21:13:15Z</dcterms:created>
  <dc:creator>Marcos</dc:creator>
  <dc:description/>
  <dc:language>en-US</dc:language>
  <cp:lastModifiedBy/>
  <cp:lastPrinted>2026-01-23T15:05:29Z</cp:lastPrinted>
  <dcterms:modified xsi:type="dcterms:W3CDTF">2026-04-02T23:24:05Z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